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DCD36D82-5A42-403F-A2CE-3BDF7C5DF2B1}" xr6:coauthVersionLast="47" xr6:coauthVersionMax="47" xr10:uidLastSave="{00000000-0000-0000-0000-000000000000}"/>
  <bookViews>
    <workbookView xWindow="-120" yWindow="-120" windowWidth="20730" windowHeight="11040" activeTab="1" xr2:uid="{085A9B0E-48FC-4689-BBDC-F0BB00F19E8C}"/>
  </bookViews>
  <sheets>
    <sheet name="Pivot_Tables" sheetId="6" r:id="rId1"/>
    <sheet name="Dashboard" sheetId="4" r:id="rId2"/>
    <sheet name="Customer_Health_Score" sheetId="5" r:id="rId3"/>
  </sheets>
  <definedNames>
    <definedName name="ExternalData_1" localSheetId="2" hidden="1">Customer_Health_Score!$A$1:$M$501</definedName>
    <definedName name="Slicer_industry">#N/A</definedName>
    <definedName name="Slicer_plan_tier">#N/A</definedName>
    <definedName name="Slicer_risk_category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4" l="1"/>
  <c r="W2" i="4"/>
  <c r="H2" i="4"/>
  <c r="D2" i="4"/>
  <c r="L2" i="4"/>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F20450-E1D3-48BB-B381-0CAE950DF678}" keepAlive="1" name="Query - customer_healthscore" description="Connection to the 'customer_healthscore' query in the workbook." type="5" refreshedVersion="8" background="1" saveData="1">
    <dbPr connection="Provider=Microsoft.Mashup.OleDb.1;Data Source=$Workbook$;Location=customer_healthscore;Extended Properties=&quot;&quot;" command="SELECT * FROM [customer_healthscore]"/>
  </connection>
</connections>
</file>

<file path=xl/sharedStrings.xml><?xml version="1.0" encoding="utf-8"?>
<sst xmlns="http://schemas.openxmlformats.org/spreadsheetml/2006/main" count="3543" uniqueCount="1049">
  <si>
    <t>churn_flag</t>
  </si>
  <si>
    <t>A-2e4581</t>
  </si>
  <si>
    <t>Company_0</t>
  </si>
  <si>
    <t>EdTech</t>
  </si>
  <si>
    <t>US</t>
  </si>
  <si>
    <t>Basic</t>
  </si>
  <si>
    <t>Medium Risk</t>
  </si>
  <si>
    <t>A-43a9e3</t>
  </si>
  <si>
    <t>Company_1</t>
  </si>
  <si>
    <t>FinTech</t>
  </si>
  <si>
    <t>IN</t>
  </si>
  <si>
    <t>Low Risk</t>
  </si>
  <si>
    <t>A-0a282f</t>
  </si>
  <si>
    <t>Company_2</t>
  </si>
  <si>
    <t>DevTools</t>
  </si>
  <si>
    <t>A-1f0ac7</t>
  </si>
  <si>
    <t>Company_3</t>
  </si>
  <si>
    <t>HealthTech</t>
  </si>
  <si>
    <t>UK</t>
  </si>
  <si>
    <t>High Risk</t>
  </si>
  <si>
    <t>A-ce550d</t>
  </si>
  <si>
    <t>Company_4</t>
  </si>
  <si>
    <t>Enterprise</t>
  </si>
  <si>
    <t>A-1b9609</t>
  </si>
  <si>
    <t>Company_5</t>
  </si>
  <si>
    <t>A-a0ca4e</t>
  </si>
  <si>
    <t>Company_6</t>
  </si>
  <si>
    <t>Cybersecurity</t>
  </si>
  <si>
    <t>Pro</t>
  </si>
  <si>
    <t>A-e5d6ab</t>
  </si>
  <si>
    <t>Company_7</t>
  </si>
  <si>
    <t>A-7dacce</t>
  </si>
  <si>
    <t>Company_8</t>
  </si>
  <si>
    <t>CA</t>
  </si>
  <si>
    <t>A-10b8da</t>
  </si>
  <si>
    <t>Company_9</t>
  </si>
  <si>
    <t>A-592832</t>
  </si>
  <si>
    <t>Company_10</t>
  </si>
  <si>
    <t>A-d40bf7</t>
  </si>
  <si>
    <t>Company_11</t>
  </si>
  <si>
    <t>A-6c093d</t>
  </si>
  <si>
    <t>Company_12</t>
  </si>
  <si>
    <t>A-462d45</t>
  </si>
  <si>
    <t>Company_13</t>
  </si>
  <si>
    <t>A-956988</t>
  </si>
  <si>
    <t>Company_14</t>
  </si>
  <si>
    <t>A-ac14bb</t>
  </si>
  <si>
    <t>Company_15</t>
  </si>
  <si>
    <t>A-463db0</t>
  </si>
  <si>
    <t>Company_16</t>
  </si>
  <si>
    <t>A-ce66f8</t>
  </si>
  <si>
    <t>Company_17</t>
  </si>
  <si>
    <t>A-c4ea60</t>
  </si>
  <si>
    <t>Company_18</t>
  </si>
  <si>
    <t>DE</t>
  </si>
  <si>
    <t>A-832ec2</t>
  </si>
  <si>
    <t>Company_19</t>
  </si>
  <si>
    <t>A-684255</t>
  </si>
  <si>
    <t>Company_20</t>
  </si>
  <si>
    <t>A-c42f1f</t>
  </si>
  <si>
    <t>Company_21</t>
  </si>
  <si>
    <t>A-4e44e8</t>
  </si>
  <si>
    <t>Company_22</t>
  </si>
  <si>
    <t>A-30b4ca</t>
  </si>
  <si>
    <t>Company_23</t>
  </si>
  <si>
    <t>A-9f2731</t>
  </si>
  <si>
    <t>Company_24</t>
  </si>
  <si>
    <t>A-32fb14</t>
  </si>
  <si>
    <t>Company_25</t>
  </si>
  <si>
    <t>A-00cac8</t>
  </si>
  <si>
    <t>Company_26</t>
  </si>
  <si>
    <t>AU</t>
  </si>
  <si>
    <t>A-35083d</t>
  </si>
  <si>
    <t>Company_27</t>
  </si>
  <si>
    <t>A-eb7fac</t>
  </si>
  <si>
    <t>Company_28</t>
  </si>
  <si>
    <t>A-b20d99</t>
  </si>
  <si>
    <t>Company_29</t>
  </si>
  <si>
    <t>A-396e5f</t>
  </si>
  <si>
    <t>Company_30</t>
  </si>
  <si>
    <t>A-45ce7a</t>
  </si>
  <si>
    <t>Company_31</t>
  </si>
  <si>
    <t>A-08e34e</t>
  </si>
  <si>
    <t>Company_32</t>
  </si>
  <si>
    <t>A-8145a0</t>
  </si>
  <si>
    <t>Company_33</t>
  </si>
  <si>
    <t>A-bad8c1</t>
  </si>
  <si>
    <t>Company_34</t>
  </si>
  <si>
    <t>A-44dc83</t>
  </si>
  <si>
    <t>Company_35</t>
  </si>
  <si>
    <t>FR</t>
  </si>
  <si>
    <t>A-f446b6</t>
  </si>
  <si>
    <t>Company_36</t>
  </si>
  <si>
    <t>A-a45270</t>
  </si>
  <si>
    <t>Company_37</t>
  </si>
  <si>
    <t>A-854864</t>
  </si>
  <si>
    <t>Company_38</t>
  </si>
  <si>
    <t>A-1b7577</t>
  </si>
  <si>
    <t>Company_39</t>
  </si>
  <si>
    <t>A-05f0e5</t>
  </si>
  <si>
    <t>Company_40</t>
  </si>
  <si>
    <t>A-9077b0</t>
  </si>
  <si>
    <t>Company_41</t>
  </si>
  <si>
    <t>A-7f8241</t>
  </si>
  <si>
    <t>Company_42</t>
  </si>
  <si>
    <t>A-2bc93d</t>
  </si>
  <si>
    <t>Company_43</t>
  </si>
  <si>
    <t>A-f3ff05</t>
  </si>
  <si>
    <t>Company_44</t>
  </si>
  <si>
    <t>A-2d4502</t>
  </si>
  <si>
    <t>Company_45</t>
  </si>
  <si>
    <t>A-6a4e2d</t>
  </si>
  <si>
    <t>Company_46</t>
  </si>
  <si>
    <t>A-eb7c38</t>
  </si>
  <si>
    <t>Company_47</t>
  </si>
  <si>
    <t>A-c37601</t>
  </si>
  <si>
    <t>Company_48</t>
  </si>
  <si>
    <t>A-3b5cd1</t>
  </si>
  <si>
    <t>Company_49</t>
  </si>
  <si>
    <t>A-b2225d</t>
  </si>
  <si>
    <t>Company_50</t>
  </si>
  <si>
    <t>A-94f8c9</t>
  </si>
  <si>
    <t>Company_51</t>
  </si>
  <si>
    <t>A-02fac6</t>
  </si>
  <si>
    <t>Company_52</t>
  </si>
  <si>
    <t>A-c1dfe1</t>
  </si>
  <si>
    <t>Company_53</t>
  </si>
  <si>
    <t>A-32728c</t>
  </si>
  <si>
    <t>Company_54</t>
  </si>
  <si>
    <t>A-4c38bc</t>
  </si>
  <si>
    <t>Company_55</t>
  </si>
  <si>
    <t>A-1b707d</t>
  </si>
  <si>
    <t>Company_56</t>
  </si>
  <si>
    <t>A-6f8ad2</t>
  </si>
  <si>
    <t>Company_57</t>
  </si>
  <si>
    <t>A-4d1e75</t>
  </si>
  <si>
    <t>Company_58</t>
  </si>
  <si>
    <t>A-9ee962</t>
  </si>
  <si>
    <t>Company_59</t>
  </si>
  <si>
    <t>A-378b99</t>
  </si>
  <si>
    <t>Company_60</t>
  </si>
  <si>
    <t>A-94d3da</t>
  </si>
  <si>
    <t>Company_61</t>
  </si>
  <si>
    <t>A-e351e1</t>
  </si>
  <si>
    <t>Company_62</t>
  </si>
  <si>
    <t>A-9badbd</t>
  </si>
  <si>
    <t>Company_63</t>
  </si>
  <si>
    <t>A-7e0a10</t>
  </si>
  <si>
    <t>Company_64</t>
  </si>
  <si>
    <t>A-118d55</t>
  </si>
  <si>
    <t>Company_65</t>
  </si>
  <si>
    <t>A-526d93</t>
  </si>
  <si>
    <t>Company_66</t>
  </si>
  <si>
    <t>A-f92792</t>
  </si>
  <si>
    <t>Company_67</t>
  </si>
  <si>
    <t>A-84ebe4</t>
  </si>
  <si>
    <t>Company_68</t>
  </si>
  <si>
    <t>A-5b4ebb</t>
  </si>
  <si>
    <t>Company_69</t>
  </si>
  <si>
    <t>A-2922b6</t>
  </si>
  <si>
    <t>Company_70</t>
  </si>
  <si>
    <t>A-9b9fe9</t>
  </si>
  <si>
    <t>Company_71</t>
  </si>
  <si>
    <t>A-a8b49c</t>
  </si>
  <si>
    <t>Company_72</t>
  </si>
  <si>
    <t>A-9174e0</t>
  </si>
  <si>
    <t>Company_73</t>
  </si>
  <si>
    <t>A-a1bbb6</t>
  </si>
  <si>
    <t>Company_74</t>
  </si>
  <si>
    <t>A-c45b23</t>
  </si>
  <si>
    <t>Company_75</t>
  </si>
  <si>
    <t>A-02cd81</t>
  </si>
  <si>
    <t>Company_76</t>
  </si>
  <si>
    <t>A-ee42db</t>
  </si>
  <si>
    <t>Company_77</t>
  </si>
  <si>
    <t>A-432483</t>
  </si>
  <si>
    <t>Company_78</t>
  </si>
  <si>
    <t>A-9208f0</t>
  </si>
  <si>
    <t>Company_79</t>
  </si>
  <si>
    <t>A-98a59a</t>
  </si>
  <si>
    <t>Company_80</t>
  </si>
  <si>
    <t>A-fe79a5</t>
  </si>
  <si>
    <t>Company_81</t>
  </si>
  <si>
    <t>A-726cfa</t>
  </si>
  <si>
    <t>Company_82</t>
  </si>
  <si>
    <t>A-c43359</t>
  </si>
  <si>
    <t>Company_83</t>
  </si>
  <si>
    <t>A-271f46</t>
  </si>
  <si>
    <t>Company_84</t>
  </si>
  <si>
    <t>A-157070</t>
  </si>
  <si>
    <t>Company_85</t>
  </si>
  <si>
    <t>A-40a557</t>
  </si>
  <si>
    <t>Company_86</t>
  </si>
  <si>
    <t>A-66224b</t>
  </si>
  <si>
    <t>Company_87</t>
  </si>
  <si>
    <t>A-91e948</t>
  </si>
  <si>
    <t>Company_88</t>
  </si>
  <si>
    <t>A-104f1a</t>
  </si>
  <si>
    <t>Company_89</t>
  </si>
  <si>
    <t>A-7988d1</t>
  </si>
  <si>
    <t>Company_90</t>
  </si>
  <si>
    <t>A-faa28c</t>
  </si>
  <si>
    <t>Company_91</t>
  </si>
  <si>
    <t>A-f25509</t>
  </si>
  <si>
    <t>Company_92</t>
  </si>
  <si>
    <t>A-3a7284</t>
  </si>
  <si>
    <t>Company_93</t>
  </si>
  <si>
    <t>A-3a5ad8</t>
  </si>
  <si>
    <t>Company_94</t>
  </si>
  <si>
    <t>A-65a46c</t>
  </si>
  <si>
    <t>Company_95</t>
  </si>
  <si>
    <t>A-8b25f2</t>
  </si>
  <si>
    <t>Company_96</t>
  </si>
  <si>
    <t>A-fabe19</t>
  </si>
  <si>
    <t>Company_97</t>
  </si>
  <si>
    <t>A-adc1f3</t>
  </si>
  <si>
    <t>Company_98</t>
  </si>
  <si>
    <t>A-503d5a</t>
  </si>
  <si>
    <t>Company_99</t>
  </si>
  <si>
    <t>A-fd7ad3</t>
  </si>
  <si>
    <t>Company_100</t>
  </si>
  <si>
    <t>A-186a44</t>
  </si>
  <si>
    <t>Company_101</t>
  </si>
  <si>
    <t>A-e888d1</t>
  </si>
  <si>
    <t>Company_102</t>
  </si>
  <si>
    <t>A-69fad4</t>
  </si>
  <si>
    <t>Company_103</t>
  </si>
  <si>
    <t>A-9289f6</t>
  </si>
  <si>
    <t>Company_104</t>
  </si>
  <si>
    <t>A-f19409</t>
  </si>
  <si>
    <t>Company_105</t>
  </si>
  <si>
    <t>A-22f2df</t>
  </si>
  <si>
    <t>Company_106</t>
  </si>
  <si>
    <t>A-039727</t>
  </si>
  <si>
    <t>Company_107</t>
  </si>
  <si>
    <t>A-2e3bad</t>
  </si>
  <si>
    <t>Company_108</t>
  </si>
  <si>
    <t>A-484819</t>
  </si>
  <si>
    <t>Company_109</t>
  </si>
  <si>
    <t>A-425e76</t>
  </si>
  <si>
    <t>Company_110</t>
  </si>
  <si>
    <t>A-e83938</t>
  </si>
  <si>
    <t>Company_111</t>
  </si>
  <si>
    <t>A-ad296b</t>
  </si>
  <si>
    <t>Company_112</t>
  </si>
  <si>
    <t>A-e51ec7</t>
  </si>
  <si>
    <t>Company_113</t>
  </si>
  <si>
    <t>A-0aaf6e</t>
  </si>
  <si>
    <t>Company_114</t>
  </si>
  <si>
    <t>A-e61e98</t>
  </si>
  <si>
    <t>Company_115</t>
  </si>
  <si>
    <t>A-92a333</t>
  </si>
  <si>
    <t>Company_116</t>
  </si>
  <si>
    <t>A-95b24a</t>
  </si>
  <si>
    <t>Company_117</t>
  </si>
  <si>
    <t>A-42e5e1</t>
  </si>
  <si>
    <t>Company_118</t>
  </si>
  <si>
    <t>A-7d514c</t>
  </si>
  <si>
    <t>Company_119</t>
  </si>
  <si>
    <t>A-65aeb5</t>
  </si>
  <si>
    <t>Company_120</t>
  </si>
  <si>
    <t>A-e2cd1b</t>
  </si>
  <si>
    <t>Company_121</t>
  </si>
  <si>
    <t>A-180abf</t>
  </si>
  <si>
    <t>Company_122</t>
  </si>
  <si>
    <t>A-f17767</t>
  </si>
  <si>
    <t>Company_123</t>
  </si>
  <si>
    <t>A-5a184f</t>
  </si>
  <si>
    <t>Company_124</t>
  </si>
  <si>
    <t>A-7df7a7</t>
  </si>
  <si>
    <t>Company_125</t>
  </si>
  <si>
    <t>A-1ac5e0</t>
  </si>
  <si>
    <t>Company_126</t>
  </si>
  <si>
    <t>A-52dd88</t>
  </si>
  <si>
    <t>Company_127</t>
  </si>
  <si>
    <t>A-bece89</t>
  </si>
  <si>
    <t>Company_128</t>
  </si>
  <si>
    <t>A-029f69</t>
  </si>
  <si>
    <t>Company_129</t>
  </si>
  <si>
    <t>A-5c046d</t>
  </si>
  <si>
    <t>Company_130</t>
  </si>
  <si>
    <t>A-fb186e</t>
  </si>
  <si>
    <t>Company_131</t>
  </si>
  <si>
    <t>A-ae052e</t>
  </si>
  <si>
    <t>Company_132</t>
  </si>
  <si>
    <t>A-9f9299</t>
  </si>
  <si>
    <t>Company_133</t>
  </si>
  <si>
    <t>A-96e141</t>
  </si>
  <si>
    <t>Company_134</t>
  </si>
  <si>
    <t>A-117171</t>
  </si>
  <si>
    <t>Company_135</t>
  </si>
  <si>
    <t>A-313be3</t>
  </si>
  <si>
    <t>Company_136</t>
  </si>
  <si>
    <t>A-671f31</t>
  </si>
  <si>
    <t>Company_137</t>
  </si>
  <si>
    <t>A-bbc346</t>
  </si>
  <si>
    <t>Company_138</t>
  </si>
  <si>
    <t>A-c16101</t>
  </si>
  <si>
    <t>Company_139</t>
  </si>
  <si>
    <t>A-50f3f7</t>
  </si>
  <si>
    <t>Company_140</t>
  </si>
  <si>
    <t>A-7da956</t>
  </si>
  <si>
    <t>Company_141</t>
  </si>
  <si>
    <t>A-019782</t>
  </si>
  <si>
    <t>Company_142</t>
  </si>
  <si>
    <t>A-df10db</t>
  </si>
  <si>
    <t>Company_143</t>
  </si>
  <si>
    <t>A-3932db</t>
  </si>
  <si>
    <t>Company_144</t>
  </si>
  <si>
    <t>A-4f18f0</t>
  </si>
  <si>
    <t>Company_145</t>
  </si>
  <si>
    <t>A-4c6f11</t>
  </si>
  <si>
    <t>Company_146</t>
  </si>
  <si>
    <t>A-8ae05d</t>
  </si>
  <si>
    <t>Company_147</t>
  </si>
  <si>
    <t>A-b78bf8</t>
  </si>
  <si>
    <t>Company_148</t>
  </si>
  <si>
    <t>A-eafc6e</t>
  </si>
  <si>
    <t>Company_149</t>
  </si>
  <si>
    <t>A-37f969</t>
  </si>
  <si>
    <t>Company_150</t>
  </si>
  <si>
    <t>A-10b8f2</t>
  </si>
  <si>
    <t>Company_151</t>
  </si>
  <si>
    <t>A-439b2f</t>
  </si>
  <si>
    <t>Company_152</t>
  </si>
  <si>
    <t>A-544d0a</t>
  </si>
  <si>
    <t>Company_153</t>
  </si>
  <si>
    <t>A-ba6516</t>
  </si>
  <si>
    <t>Company_154</t>
  </si>
  <si>
    <t>A-712426</t>
  </si>
  <si>
    <t>Company_155</t>
  </si>
  <si>
    <t>A-038089</t>
  </si>
  <si>
    <t>Company_156</t>
  </si>
  <si>
    <t>A-afa505</t>
  </si>
  <si>
    <t>Company_157</t>
  </si>
  <si>
    <t>A-d5a319</t>
  </si>
  <si>
    <t>Company_158</t>
  </si>
  <si>
    <t>A-f97b9a</t>
  </si>
  <si>
    <t>Company_159</t>
  </si>
  <si>
    <t>A-2f6a32</t>
  </si>
  <si>
    <t>Company_160</t>
  </si>
  <si>
    <t>A-856b1e</t>
  </si>
  <si>
    <t>Company_161</t>
  </si>
  <si>
    <t>A-17939a</t>
  </si>
  <si>
    <t>Company_162</t>
  </si>
  <si>
    <t>A-d27f50</t>
  </si>
  <si>
    <t>Company_163</t>
  </si>
  <si>
    <t>A-e36807</t>
  </si>
  <si>
    <t>Company_164</t>
  </si>
  <si>
    <t>A-ff79f2</t>
  </si>
  <si>
    <t>Company_165</t>
  </si>
  <si>
    <t>A-5b1bcd</t>
  </si>
  <si>
    <t>Company_166</t>
  </si>
  <si>
    <t>A-71615e</t>
  </si>
  <si>
    <t>Company_167</t>
  </si>
  <si>
    <t>A-794a0b</t>
  </si>
  <si>
    <t>Company_168</t>
  </si>
  <si>
    <t>A-86902e</t>
  </si>
  <si>
    <t>Company_169</t>
  </si>
  <si>
    <t>A-0532a9</t>
  </si>
  <si>
    <t>Company_170</t>
  </si>
  <si>
    <t>A-9779ad</t>
  </si>
  <si>
    <t>Company_171</t>
  </si>
  <si>
    <t>A-f45426</t>
  </si>
  <si>
    <t>Company_172</t>
  </si>
  <si>
    <t>A-c1e51e</t>
  </si>
  <si>
    <t>Company_173</t>
  </si>
  <si>
    <t>A-fa3095</t>
  </si>
  <si>
    <t>Company_174</t>
  </si>
  <si>
    <t>A-ad64c6</t>
  </si>
  <si>
    <t>Company_175</t>
  </si>
  <si>
    <t>A-39b19f</t>
  </si>
  <si>
    <t>Company_176</t>
  </si>
  <si>
    <t>A-56962b</t>
  </si>
  <si>
    <t>Company_177</t>
  </si>
  <si>
    <t>A-e60f9d</t>
  </si>
  <si>
    <t>Company_178</t>
  </si>
  <si>
    <t>A-88c6ca</t>
  </si>
  <si>
    <t>Company_179</t>
  </si>
  <si>
    <t>A-158f4e</t>
  </si>
  <si>
    <t>Company_180</t>
  </si>
  <si>
    <t>A-5b051a</t>
  </si>
  <si>
    <t>Company_181</t>
  </si>
  <si>
    <t>A-296d7c</t>
  </si>
  <si>
    <t>Company_182</t>
  </si>
  <si>
    <t>A-1619f8</t>
  </si>
  <si>
    <t>Company_183</t>
  </si>
  <si>
    <t>A-a1b80b</t>
  </si>
  <si>
    <t>Company_184</t>
  </si>
  <si>
    <t>A-139c3b</t>
  </si>
  <si>
    <t>Company_185</t>
  </si>
  <si>
    <t>A-702032</t>
  </si>
  <si>
    <t>Company_186</t>
  </si>
  <si>
    <t>A-7a0d69</t>
  </si>
  <si>
    <t>Company_187</t>
  </si>
  <si>
    <t>A-22d9d2</t>
  </si>
  <si>
    <t>Company_188</t>
  </si>
  <si>
    <t>A-b9eed8</t>
  </si>
  <si>
    <t>Company_189</t>
  </si>
  <si>
    <t>A-dfbd31</t>
  </si>
  <si>
    <t>Company_190</t>
  </si>
  <si>
    <t>A-8e47ca</t>
  </si>
  <si>
    <t>Company_191</t>
  </si>
  <si>
    <t>A-4437e4</t>
  </si>
  <si>
    <t>Company_192</t>
  </si>
  <si>
    <t>A-779e4e</t>
  </si>
  <si>
    <t>Company_193</t>
  </si>
  <si>
    <t>A-53f4e3</t>
  </si>
  <si>
    <t>Company_194</t>
  </si>
  <si>
    <t>A-692f18</t>
  </si>
  <si>
    <t>Company_195</t>
  </si>
  <si>
    <t>A-13466a</t>
  </si>
  <si>
    <t>Company_196</t>
  </si>
  <si>
    <t>A-1986ca</t>
  </si>
  <si>
    <t>Company_197</t>
  </si>
  <si>
    <t>A-0cc442</t>
  </si>
  <si>
    <t>Company_198</t>
  </si>
  <si>
    <t>A-c608c8</t>
  </si>
  <si>
    <t>Company_199</t>
  </si>
  <si>
    <t>A-3be56b</t>
  </si>
  <si>
    <t>Company_200</t>
  </si>
  <si>
    <t>A-354f12</t>
  </si>
  <si>
    <t>Company_201</t>
  </si>
  <si>
    <t>A-68f37c</t>
  </si>
  <si>
    <t>Company_202</t>
  </si>
  <si>
    <t>A-aa9511</t>
  </si>
  <si>
    <t>Company_203</t>
  </si>
  <si>
    <t>A-af0cd2</t>
  </si>
  <si>
    <t>Company_204</t>
  </si>
  <si>
    <t>A-bd4513</t>
  </si>
  <si>
    <t>Company_205</t>
  </si>
  <si>
    <t>A-c222ab</t>
  </si>
  <si>
    <t>Company_206</t>
  </si>
  <si>
    <t>A-34d880</t>
  </si>
  <si>
    <t>Company_207</t>
  </si>
  <si>
    <t>A-508199</t>
  </si>
  <si>
    <t>Company_208</t>
  </si>
  <si>
    <t>A-f03140</t>
  </si>
  <si>
    <t>Company_209</t>
  </si>
  <si>
    <t>A-410e86</t>
  </si>
  <si>
    <t>Company_210</t>
  </si>
  <si>
    <t>A-fa2041</t>
  </si>
  <si>
    <t>Company_211</t>
  </si>
  <si>
    <t>A-de58ca</t>
  </si>
  <si>
    <t>Company_212</t>
  </si>
  <si>
    <t>A-05d3b3</t>
  </si>
  <si>
    <t>Company_213</t>
  </si>
  <si>
    <t>A-249769</t>
  </si>
  <si>
    <t>Company_214</t>
  </si>
  <si>
    <t>A-e43bf7</t>
  </si>
  <si>
    <t>Company_215</t>
  </si>
  <si>
    <t>A-eb2fdc</t>
  </si>
  <si>
    <t>Company_216</t>
  </si>
  <si>
    <t>A-e1462e</t>
  </si>
  <si>
    <t>Company_217</t>
  </si>
  <si>
    <t>A-cab532</t>
  </si>
  <si>
    <t>Company_218</t>
  </si>
  <si>
    <t>A-9123ac</t>
  </si>
  <si>
    <t>Company_219</t>
  </si>
  <si>
    <t>A-6e08f3</t>
  </si>
  <si>
    <t>Company_220</t>
  </si>
  <si>
    <t>A-d922bf</t>
  </si>
  <si>
    <t>Company_221</t>
  </si>
  <si>
    <t>A-8ed5dd</t>
  </si>
  <si>
    <t>Company_222</t>
  </si>
  <si>
    <t>A-7c6b6b</t>
  </si>
  <si>
    <t>Company_223</t>
  </si>
  <si>
    <t>A-3c1a3f</t>
  </si>
  <si>
    <t>Company_224</t>
  </si>
  <si>
    <t>A-b48f73</t>
  </si>
  <si>
    <t>Company_225</t>
  </si>
  <si>
    <t>A-76fa4d</t>
  </si>
  <si>
    <t>Company_226</t>
  </si>
  <si>
    <t>A-b2af2e</t>
  </si>
  <si>
    <t>Company_227</t>
  </si>
  <si>
    <t>A-9bfc9f</t>
  </si>
  <si>
    <t>Company_228</t>
  </si>
  <si>
    <t>A-4ae22a</t>
  </si>
  <si>
    <t>Company_229</t>
  </si>
  <si>
    <t>A-fda07f</t>
  </si>
  <si>
    <t>Company_230</t>
  </si>
  <si>
    <t>A-de24d5</t>
  </si>
  <si>
    <t>Company_231</t>
  </si>
  <si>
    <t>A-977ca0</t>
  </si>
  <si>
    <t>Company_232</t>
  </si>
  <si>
    <t>A-ab438f</t>
  </si>
  <si>
    <t>Company_233</t>
  </si>
  <si>
    <t>A-e89151</t>
  </si>
  <si>
    <t>Company_234</t>
  </si>
  <si>
    <t>A-40906c</t>
  </si>
  <si>
    <t>Company_235</t>
  </si>
  <si>
    <t>A-81edc3</t>
  </si>
  <si>
    <t>Company_236</t>
  </si>
  <si>
    <t>A-328bd0</t>
  </si>
  <si>
    <t>Company_237</t>
  </si>
  <si>
    <t>A-b3fe05</t>
  </si>
  <si>
    <t>Company_238</t>
  </si>
  <si>
    <t>A-09540c</t>
  </si>
  <si>
    <t>Company_239</t>
  </si>
  <si>
    <t>A-e693b6</t>
  </si>
  <si>
    <t>Company_240</t>
  </si>
  <si>
    <t>A-2446e3</t>
  </si>
  <si>
    <t>Company_241</t>
  </si>
  <si>
    <t>A-241e75</t>
  </si>
  <si>
    <t>Company_242</t>
  </si>
  <si>
    <t>A-922109</t>
  </si>
  <si>
    <t>Company_243</t>
  </si>
  <si>
    <t>A-ff3c73</t>
  </si>
  <si>
    <t>Company_244</t>
  </si>
  <si>
    <t>A-8b0451</t>
  </si>
  <si>
    <t>Company_245</t>
  </si>
  <si>
    <t>A-331424</t>
  </si>
  <si>
    <t>Company_246</t>
  </si>
  <si>
    <t>A-51ec1b</t>
  </si>
  <si>
    <t>Company_247</t>
  </si>
  <si>
    <t>A-bcf664</t>
  </si>
  <si>
    <t>Company_248</t>
  </si>
  <si>
    <t>A-90a8c8</t>
  </si>
  <si>
    <t>Company_249</t>
  </si>
  <si>
    <t>A-86cdb4</t>
  </si>
  <si>
    <t>Company_250</t>
  </si>
  <si>
    <t>A-4bfa33</t>
  </si>
  <si>
    <t>Company_251</t>
  </si>
  <si>
    <t>A-dbc825</t>
  </si>
  <si>
    <t>Company_252</t>
  </si>
  <si>
    <t>A-c70870</t>
  </si>
  <si>
    <t>Company_253</t>
  </si>
  <si>
    <t>A-7c4956</t>
  </si>
  <si>
    <t>Company_254</t>
  </si>
  <si>
    <t>A-0651a4</t>
  </si>
  <si>
    <t>Company_255</t>
  </si>
  <si>
    <t>A-3ce5b8</t>
  </si>
  <si>
    <t>Company_256</t>
  </si>
  <si>
    <t>A-bd4708</t>
  </si>
  <si>
    <t>Company_257</t>
  </si>
  <si>
    <t>A-993085</t>
  </si>
  <si>
    <t>Company_258</t>
  </si>
  <si>
    <t>A-92a3af</t>
  </si>
  <si>
    <t>Company_259</t>
  </si>
  <si>
    <t>A-151c9a</t>
  </si>
  <si>
    <t>Company_260</t>
  </si>
  <si>
    <t>A-474ad4</t>
  </si>
  <si>
    <t>Company_261</t>
  </si>
  <si>
    <t>A-4ef964</t>
  </si>
  <si>
    <t>Company_262</t>
  </si>
  <si>
    <t>A-fd9422</t>
  </si>
  <si>
    <t>Company_263</t>
  </si>
  <si>
    <t>A-0baac2</t>
  </si>
  <si>
    <t>Company_264</t>
  </si>
  <si>
    <t>A-bb1486</t>
  </si>
  <si>
    <t>Company_265</t>
  </si>
  <si>
    <t>A-560d27</t>
  </si>
  <si>
    <t>Company_266</t>
  </si>
  <si>
    <t>A-0b0d6d</t>
  </si>
  <si>
    <t>Company_267</t>
  </si>
  <si>
    <t>A-2789e3</t>
  </si>
  <si>
    <t>Company_268</t>
  </si>
  <si>
    <t>A-b07346</t>
  </si>
  <si>
    <t>Company_269</t>
  </si>
  <si>
    <t>A-902ef7</t>
  </si>
  <si>
    <t>Company_270</t>
  </si>
  <si>
    <t>A-20736a</t>
  </si>
  <si>
    <t>Company_271</t>
  </si>
  <si>
    <t>A-e4bf56</t>
  </si>
  <si>
    <t>Company_272</t>
  </si>
  <si>
    <t>A-cea1f0</t>
  </si>
  <si>
    <t>Company_273</t>
  </si>
  <si>
    <t>A-ef84cf</t>
  </si>
  <si>
    <t>Company_274</t>
  </si>
  <si>
    <t>A-d49cc5</t>
  </si>
  <si>
    <t>Company_275</t>
  </si>
  <si>
    <t>A-67be94</t>
  </si>
  <si>
    <t>Company_276</t>
  </si>
  <si>
    <t>A-4e960a</t>
  </si>
  <si>
    <t>Company_277</t>
  </si>
  <si>
    <t>A-c37cab</t>
  </si>
  <si>
    <t>Company_278</t>
  </si>
  <si>
    <t>A-533452</t>
  </si>
  <si>
    <t>Company_279</t>
  </si>
  <si>
    <t>A-443b7c</t>
  </si>
  <si>
    <t>Company_280</t>
  </si>
  <si>
    <t>A-1f7acb</t>
  </si>
  <si>
    <t>Company_281</t>
  </si>
  <si>
    <t>A-f51f16</t>
  </si>
  <si>
    <t>Company_282</t>
  </si>
  <si>
    <t>A-5a3eb9</t>
  </si>
  <si>
    <t>Company_283</t>
  </si>
  <si>
    <t>A-5f2961</t>
  </si>
  <si>
    <t>Company_284</t>
  </si>
  <si>
    <t>A-417d2f</t>
  </si>
  <si>
    <t>Company_285</t>
  </si>
  <si>
    <t>A-e98302</t>
  </si>
  <si>
    <t>Company_286</t>
  </si>
  <si>
    <t>A-8bde0c</t>
  </si>
  <si>
    <t>Company_287</t>
  </si>
  <si>
    <t>A-bcf87c</t>
  </si>
  <si>
    <t>Company_288</t>
  </si>
  <si>
    <t>A-54ecc2</t>
  </si>
  <si>
    <t>Company_289</t>
  </si>
  <si>
    <t>A-625d0b</t>
  </si>
  <si>
    <t>Company_290</t>
  </si>
  <si>
    <t>A-fce879</t>
  </si>
  <si>
    <t>Company_291</t>
  </si>
  <si>
    <t>A-b07b56</t>
  </si>
  <si>
    <t>Company_292</t>
  </si>
  <si>
    <t>A-6da850</t>
  </si>
  <si>
    <t>Company_293</t>
  </si>
  <si>
    <t>A-342303</t>
  </si>
  <si>
    <t>Company_294</t>
  </si>
  <si>
    <t>A-e7a1e2</t>
  </si>
  <si>
    <t>Company_295</t>
  </si>
  <si>
    <t>A-f1f639</t>
  </si>
  <si>
    <t>Company_296</t>
  </si>
  <si>
    <t>A-a865bd</t>
  </si>
  <si>
    <t>Company_297</t>
  </si>
  <si>
    <t>A-4e631b</t>
  </si>
  <si>
    <t>Company_298</t>
  </si>
  <si>
    <t>A-7f6b86</t>
  </si>
  <si>
    <t>Company_299</t>
  </si>
  <si>
    <t>A-8adedc</t>
  </si>
  <si>
    <t>Company_300</t>
  </si>
  <si>
    <t>A-2edab2</t>
  </si>
  <si>
    <t>Company_301</t>
  </si>
  <si>
    <t>A-149a69</t>
  </si>
  <si>
    <t>Company_302</t>
  </si>
  <si>
    <t>A-a6d261</t>
  </si>
  <si>
    <t>Company_303</t>
  </si>
  <si>
    <t>A-443f6f</t>
  </si>
  <si>
    <t>Company_304</t>
  </si>
  <si>
    <t>A-202b67</t>
  </si>
  <si>
    <t>Company_305</t>
  </si>
  <si>
    <t>A-00bed1</t>
  </si>
  <si>
    <t>Company_306</t>
  </si>
  <si>
    <t>A-ffc04f</t>
  </si>
  <si>
    <t>Company_307</t>
  </si>
  <si>
    <t>A-65c341</t>
  </si>
  <si>
    <t>Company_308</t>
  </si>
  <si>
    <t>A-dcc2f0</t>
  </si>
  <si>
    <t>Company_309</t>
  </si>
  <si>
    <t>A-ced9aa</t>
  </si>
  <si>
    <t>Company_310</t>
  </si>
  <si>
    <t>A-3d957b</t>
  </si>
  <si>
    <t>Company_311</t>
  </si>
  <si>
    <t>A-89ee83</t>
  </si>
  <si>
    <t>Company_312</t>
  </si>
  <si>
    <t>A-883b7d</t>
  </si>
  <si>
    <t>Company_313</t>
  </si>
  <si>
    <t>A-dcc3f1</t>
  </si>
  <si>
    <t>Company_314</t>
  </si>
  <si>
    <t>A-c62e55</t>
  </si>
  <si>
    <t>Company_315</t>
  </si>
  <si>
    <t>A-e4144b</t>
  </si>
  <si>
    <t>Company_316</t>
  </si>
  <si>
    <t>A-e40f45</t>
  </si>
  <si>
    <t>Company_317</t>
  </si>
  <si>
    <t>A-96215d</t>
  </si>
  <si>
    <t>Company_318</t>
  </si>
  <si>
    <t>A-2b9d3e</t>
  </si>
  <si>
    <t>Company_319</t>
  </si>
  <si>
    <t>A-b7724f</t>
  </si>
  <si>
    <t>Company_320</t>
  </si>
  <si>
    <t>A-310452</t>
  </si>
  <si>
    <t>Company_321</t>
  </si>
  <si>
    <t>A-eb1312</t>
  </si>
  <si>
    <t>Company_322</t>
  </si>
  <si>
    <t>A-df1e44</t>
  </si>
  <si>
    <t>Company_323</t>
  </si>
  <si>
    <t>A-6a7c9d</t>
  </si>
  <si>
    <t>Company_324</t>
  </si>
  <si>
    <t>A-cbd1a3</t>
  </si>
  <si>
    <t>Company_325</t>
  </si>
  <si>
    <t>A-a8d89d</t>
  </si>
  <si>
    <t>Company_326</t>
  </si>
  <si>
    <t>A-600734</t>
  </si>
  <si>
    <t>Company_327</t>
  </si>
  <si>
    <t>A-86fc1d</t>
  </si>
  <si>
    <t>Company_328</t>
  </si>
  <si>
    <t>A-78f02b</t>
  </si>
  <si>
    <t>Company_329</t>
  </si>
  <si>
    <t>A-acb7f7</t>
  </si>
  <si>
    <t>Company_330</t>
  </si>
  <si>
    <t>A-712f1c</t>
  </si>
  <si>
    <t>Company_331</t>
  </si>
  <si>
    <t>A-3793ee</t>
  </si>
  <si>
    <t>Company_332</t>
  </si>
  <si>
    <t>A-9a532a</t>
  </si>
  <si>
    <t>Company_333</t>
  </si>
  <si>
    <t>A-2ebb4b</t>
  </si>
  <si>
    <t>Company_334</t>
  </si>
  <si>
    <t>A-6843f2</t>
  </si>
  <si>
    <t>Company_335</t>
  </si>
  <si>
    <t>A-c9bb3e</t>
  </si>
  <si>
    <t>Company_336</t>
  </si>
  <si>
    <t>A-4814a3</t>
  </si>
  <si>
    <t>Company_337</t>
  </si>
  <si>
    <t>A-b7b7b7</t>
  </si>
  <si>
    <t>Company_338</t>
  </si>
  <si>
    <t>A-ccc747</t>
  </si>
  <si>
    <t>Company_339</t>
  </si>
  <si>
    <t>A-bb3bd4</t>
  </si>
  <si>
    <t>Company_340</t>
  </si>
  <si>
    <t>A-09316c</t>
  </si>
  <si>
    <t>Company_341</t>
  </si>
  <si>
    <t>A-96bbc6</t>
  </si>
  <si>
    <t>Company_342</t>
  </si>
  <si>
    <t>A-bc4d48</t>
  </si>
  <si>
    <t>Company_343</t>
  </si>
  <si>
    <t>A-b30291</t>
  </si>
  <si>
    <t>Company_344</t>
  </si>
  <si>
    <t>A-cdf020</t>
  </si>
  <si>
    <t>Company_345</t>
  </si>
  <si>
    <t>A-e6afc1</t>
  </si>
  <si>
    <t>Company_346</t>
  </si>
  <si>
    <t>A-e3bd71</t>
  </si>
  <si>
    <t>Company_347</t>
  </si>
  <si>
    <t>A-b179bf</t>
  </si>
  <si>
    <t>Company_348</t>
  </si>
  <si>
    <t>A-098560</t>
  </si>
  <si>
    <t>Company_349</t>
  </si>
  <si>
    <t>A-82861f</t>
  </si>
  <si>
    <t>Company_350</t>
  </si>
  <si>
    <t>A-94c3cd</t>
  </si>
  <si>
    <t>Company_351</t>
  </si>
  <si>
    <t>A-a33200</t>
  </si>
  <si>
    <t>Company_352</t>
  </si>
  <si>
    <t>A-034368</t>
  </si>
  <si>
    <t>Company_353</t>
  </si>
  <si>
    <t>A-b54c01</t>
  </si>
  <si>
    <t>Company_354</t>
  </si>
  <si>
    <t>A-d82ef9</t>
  </si>
  <si>
    <t>Company_355</t>
  </si>
  <si>
    <t>A-bb2f49</t>
  </si>
  <si>
    <t>Company_356</t>
  </si>
  <si>
    <t>A-1f559b</t>
  </si>
  <si>
    <t>Company_357</t>
  </si>
  <si>
    <t>A-5a215a</t>
  </si>
  <si>
    <t>Company_358</t>
  </si>
  <si>
    <t>A-3f9cc0</t>
  </si>
  <si>
    <t>Company_359</t>
  </si>
  <si>
    <t>A-f9cc74</t>
  </si>
  <si>
    <t>Company_360</t>
  </si>
  <si>
    <t>A-ed510f</t>
  </si>
  <si>
    <t>Company_361</t>
  </si>
  <si>
    <t>A-5c9849</t>
  </si>
  <si>
    <t>Company_362</t>
  </si>
  <si>
    <t>A-a7bd4b</t>
  </si>
  <si>
    <t>Company_363</t>
  </si>
  <si>
    <t>A-d4ac0e</t>
  </si>
  <si>
    <t>Company_364</t>
  </si>
  <si>
    <t>A-ffdfd5</t>
  </si>
  <si>
    <t>Company_365</t>
  </si>
  <si>
    <t>A-0dbdc6</t>
  </si>
  <si>
    <t>Company_366</t>
  </si>
  <si>
    <t>A-7cfe77</t>
  </si>
  <si>
    <t>Company_367</t>
  </si>
  <si>
    <t>A-1f0636</t>
  </si>
  <si>
    <t>Company_368</t>
  </si>
  <si>
    <t>A-40de06</t>
  </si>
  <si>
    <t>Company_369</t>
  </si>
  <si>
    <t>A-cb5333</t>
  </si>
  <si>
    <t>Company_370</t>
  </si>
  <si>
    <t>A-309e54</t>
  </si>
  <si>
    <t>Company_371</t>
  </si>
  <si>
    <t>A-6e7827</t>
  </si>
  <si>
    <t>Company_372</t>
  </si>
  <si>
    <t>A-50bb9f</t>
  </si>
  <si>
    <t>Company_373</t>
  </si>
  <si>
    <t>A-5fe118</t>
  </si>
  <si>
    <t>Company_374</t>
  </si>
  <si>
    <t>A-5247b3</t>
  </si>
  <si>
    <t>Company_375</t>
  </si>
  <si>
    <t>A-f44180</t>
  </si>
  <si>
    <t>Company_376</t>
  </si>
  <si>
    <t>A-c16cf7</t>
  </si>
  <si>
    <t>Company_377</t>
  </si>
  <si>
    <t>A-d42431</t>
  </si>
  <si>
    <t>Company_378</t>
  </si>
  <si>
    <t>A-6965e1</t>
  </si>
  <si>
    <t>Company_379</t>
  </si>
  <si>
    <t>A-0354fe</t>
  </si>
  <si>
    <t>Company_380</t>
  </si>
  <si>
    <t>A-0a62f5</t>
  </si>
  <si>
    <t>Company_381</t>
  </si>
  <si>
    <t>A-f5641b</t>
  </si>
  <si>
    <t>Company_382</t>
  </si>
  <si>
    <t>A-b44e3e</t>
  </si>
  <si>
    <t>Company_383</t>
  </si>
  <si>
    <t>A-3b37d9</t>
  </si>
  <si>
    <t>Company_384</t>
  </si>
  <si>
    <t>A-54d94a</t>
  </si>
  <si>
    <t>Company_385</t>
  </si>
  <si>
    <t>A-7f29a7</t>
  </si>
  <si>
    <t>Company_386</t>
  </si>
  <si>
    <t>A-089363</t>
  </si>
  <si>
    <t>Company_387</t>
  </si>
  <si>
    <t>A-524364</t>
  </si>
  <si>
    <t>Company_388</t>
  </si>
  <si>
    <t>A-855a48</t>
  </si>
  <si>
    <t>Company_389</t>
  </si>
  <si>
    <t>A-756192</t>
  </si>
  <si>
    <t>Company_390</t>
  </si>
  <si>
    <t>A-49b828</t>
  </si>
  <si>
    <t>Company_391</t>
  </si>
  <si>
    <t>A-c7ffc2</t>
  </si>
  <si>
    <t>Company_392</t>
  </si>
  <si>
    <t>A-751c58</t>
  </si>
  <si>
    <t>Company_393</t>
  </si>
  <si>
    <t>A-72799b</t>
  </si>
  <si>
    <t>Company_394</t>
  </si>
  <si>
    <t>A-812c5b</t>
  </si>
  <si>
    <t>Company_395</t>
  </si>
  <si>
    <t>A-69b156</t>
  </si>
  <si>
    <t>Company_396</t>
  </si>
  <si>
    <t>A-075038</t>
  </si>
  <si>
    <t>Company_397</t>
  </si>
  <si>
    <t>A-940b8b</t>
  </si>
  <si>
    <t>Company_398</t>
  </si>
  <si>
    <t>A-2d1036</t>
  </si>
  <si>
    <t>Company_399</t>
  </si>
  <si>
    <t>A-0f6450</t>
  </si>
  <si>
    <t>Company_400</t>
  </si>
  <si>
    <t>A-9affe6</t>
  </si>
  <si>
    <t>Company_401</t>
  </si>
  <si>
    <t>A-80eeb6</t>
  </si>
  <si>
    <t>Company_402</t>
  </si>
  <si>
    <t>A-d4e0d4</t>
  </si>
  <si>
    <t>Company_403</t>
  </si>
  <si>
    <t>A-c7e58b</t>
  </si>
  <si>
    <t>Company_404</t>
  </si>
  <si>
    <t>A-016043</t>
  </si>
  <si>
    <t>Company_405</t>
  </si>
  <si>
    <t>A-bbe56f</t>
  </si>
  <si>
    <t>Company_406</t>
  </si>
  <si>
    <t>A-7c5768</t>
  </si>
  <si>
    <t>Company_407</t>
  </si>
  <si>
    <t>A-751bd4</t>
  </si>
  <si>
    <t>Company_408</t>
  </si>
  <si>
    <t>A-4e0e85</t>
  </si>
  <si>
    <t>Company_409</t>
  </si>
  <si>
    <t>A-ad3abd</t>
  </si>
  <si>
    <t>Company_410</t>
  </si>
  <si>
    <t>A-e19ff6</t>
  </si>
  <si>
    <t>Company_411</t>
  </si>
  <si>
    <t>A-7920cc</t>
  </si>
  <si>
    <t>Company_412</t>
  </si>
  <si>
    <t>A-5a92e7</t>
  </si>
  <si>
    <t>Company_413</t>
  </si>
  <si>
    <t>A-fdfc91</t>
  </si>
  <si>
    <t>Company_414</t>
  </si>
  <si>
    <t>A-1e50e0</t>
  </si>
  <si>
    <t>Company_415</t>
  </si>
  <si>
    <t>A-1e1b80</t>
  </si>
  <si>
    <t>Company_416</t>
  </si>
  <si>
    <t>A-659280</t>
  </si>
  <si>
    <t>Company_417</t>
  </si>
  <si>
    <t>A-f6b2fb</t>
  </si>
  <si>
    <t>Company_418</t>
  </si>
  <si>
    <t>A-cb6cc6</t>
  </si>
  <si>
    <t>Company_419</t>
  </si>
  <si>
    <t>A-d62e02</t>
  </si>
  <si>
    <t>Company_420</t>
  </si>
  <si>
    <t>A-d535f6</t>
  </si>
  <si>
    <t>Company_421</t>
  </si>
  <si>
    <t>A-39868b</t>
  </si>
  <si>
    <t>Company_422</t>
  </si>
  <si>
    <t>A-3cc791</t>
  </si>
  <si>
    <t>Company_423</t>
  </si>
  <si>
    <t>A-337bc1</t>
  </si>
  <si>
    <t>Company_424</t>
  </si>
  <si>
    <t>A-58b9ff</t>
  </si>
  <si>
    <t>Company_425</t>
  </si>
  <si>
    <t>A-bf7919</t>
  </si>
  <si>
    <t>Company_426</t>
  </si>
  <si>
    <t>A-1d5444</t>
  </si>
  <si>
    <t>Company_427</t>
  </si>
  <si>
    <t>A-0f3e88</t>
  </si>
  <si>
    <t>Company_428</t>
  </si>
  <si>
    <t>A-7641d3</t>
  </si>
  <si>
    <t>Company_429</t>
  </si>
  <si>
    <t>A-cd458b</t>
  </si>
  <si>
    <t>Company_430</t>
  </si>
  <si>
    <t>A-c16b88</t>
  </si>
  <si>
    <t>Company_431</t>
  </si>
  <si>
    <t>A-59f724</t>
  </si>
  <si>
    <t>Company_432</t>
  </si>
  <si>
    <t>A-87aa7b</t>
  </si>
  <si>
    <t>Company_433</t>
  </si>
  <si>
    <t>A-1e6fc3</t>
  </si>
  <si>
    <t>Company_434</t>
  </si>
  <si>
    <t>A-39ddf4</t>
  </si>
  <si>
    <t>Company_435</t>
  </si>
  <si>
    <t>A-34ea2f</t>
  </si>
  <si>
    <t>Company_436</t>
  </si>
  <si>
    <t>A-716841</t>
  </si>
  <si>
    <t>Company_437</t>
  </si>
  <si>
    <t>A-558c72</t>
  </si>
  <si>
    <t>Company_438</t>
  </si>
  <si>
    <t>A-b11cd0</t>
  </si>
  <si>
    <t>Company_439</t>
  </si>
  <si>
    <t>A-cc1d8d</t>
  </si>
  <si>
    <t>Company_440</t>
  </si>
  <si>
    <t>A-7f4db3</t>
  </si>
  <si>
    <t>Company_441</t>
  </si>
  <si>
    <t>A-db5e9e</t>
  </si>
  <si>
    <t>Company_442</t>
  </si>
  <si>
    <t>A-cc102e</t>
  </si>
  <si>
    <t>Company_443</t>
  </si>
  <si>
    <t>A-82d8a6</t>
  </si>
  <si>
    <t>Company_444</t>
  </si>
  <si>
    <t>A-dec005</t>
  </si>
  <si>
    <t>Company_445</t>
  </si>
  <si>
    <t>A-5790f4</t>
  </si>
  <si>
    <t>Company_446</t>
  </si>
  <si>
    <t>A-7c83a1</t>
  </si>
  <si>
    <t>Company_447</t>
  </si>
  <si>
    <t>A-297a2d</t>
  </si>
  <si>
    <t>Company_448</t>
  </si>
  <si>
    <t>A-4c56c9</t>
  </si>
  <si>
    <t>Company_449</t>
  </si>
  <si>
    <t>A-cbbe12</t>
  </si>
  <si>
    <t>Company_450</t>
  </si>
  <si>
    <t>A-4a267b</t>
  </si>
  <si>
    <t>Company_451</t>
  </si>
  <si>
    <t>A-bcbe98</t>
  </si>
  <si>
    <t>Company_452</t>
  </si>
  <si>
    <t>A-427b69</t>
  </si>
  <si>
    <t>Company_453</t>
  </si>
  <si>
    <t>A-0be015</t>
  </si>
  <si>
    <t>Company_454</t>
  </si>
  <si>
    <t>A-054577</t>
  </si>
  <si>
    <t>Company_455</t>
  </si>
  <si>
    <t>A-bc87bc</t>
  </si>
  <si>
    <t>Company_456</t>
  </si>
  <si>
    <t>A-0f7d77</t>
  </si>
  <si>
    <t>Company_457</t>
  </si>
  <si>
    <t>A-e7beab</t>
  </si>
  <si>
    <t>Company_458</t>
  </si>
  <si>
    <t>A-a09355</t>
  </si>
  <si>
    <t>Company_459</t>
  </si>
  <si>
    <t>A-31ab9a</t>
  </si>
  <si>
    <t>Company_460</t>
  </si>
  <si>
    <t>A-0158bb</t>
  </si>
  <si>
    <t>Company_461</t>
  </si>
  <si>
    <t>A-f19b24</t>
  </si>
  <si>
    <t>Company_462</t>
  </si>
  <si>
    <t>A-798a3f</t>
  </si>
  <si>
    <t>Company_463</t>
  </si>
  <si>
    <t>A-42b791</t>
  </si>
  <si>
    <t>Company_464</t>
  </si>
  <si>
    <t>A-068fc6</t>
  </si>
  <si>
    <t>Company_465</t>
  </si>
  <si>
    <t>A-6f50ae</t>
  </si>
  <si>
    <t>Company_466</t>
  </si>
  <si>
    <t>A-a2485e</t>
  </si>
  <si>
    <t>Company_467</t>
  </si>
  <si>
    <t>A-bb1eaa</t>
  </si>
  <si>
    <t>Company_468</t>
  </si>
  <si>
    <t>A-cc98bc</t>
  </si>
  <si>
    <t>Company_469</t>
  </si>
  <si>
    <t>A-d77f4c</t>
  </si>
  <si>
    <t>Company_470</t>
  </si>
  <si>
    <t>A-ccabf0</t>
  </si>
  <si>
    <t>Company_471</t>
  </si>
  <si>
    <t>A-700ade</t>
  </si>
  <si>
    <t>Company_472</t>
  </si>
  <si>
    <t>A-4a4c2d</t>
  </si>
  <si>
    <t>Company_473</t>
  </si>
  <si>
    <t>A-b7ef83</t>
  </si>
  <si>
    <t>Company_474</t>
  </si>
  <si>
    <t>A-e08cd3</t>
  </si>
  <si>
    <t>Company_475</t>
  </si>
  <si>
    <t>A-19b2c8</t>
  </si>
  <si>
    <t>Company_476</t>
  </si>
  <si>
    <t>A-970c97</t>
  </si>
  <si>
    <t>Company_477</t>
  </si>
  <si>
    <t>A-6dee43</t>
  </si>
  <si>
    <t>Company_478</t>
  </si>
  <si>
    <t>A-5ed98d</t>
  </si>
  <si>
    <t>Company_479</t>
  </si>
  <si>
    <t>A-c58f49</t>
  </si>
  <si>
    <t>Company_480</t>
  </si>
  <si>
    <t>A-9c18c4</t>
  </si>
  <si>
    <t>Company_481</t>
  </si>
  <si>
    <t>A-cc8c8f</t>
  </si>
  <si>
    <t>Company_482</t>
  </si>
  <si>
    <t>A-5f7781</t>
  </si>
  <si>
    <t>Company_483</t>
  </si>
  <si>
    <t>A-e1b9cd</t>
  </si>
  <si>
    <t>Company_484</t>
  </si>
  <si>
    <t>A-ac85cd</t>
  </si>
  <si>
    <t>Company_485</t>
  </si>
  <si>
    <t>A-d792a6</t>
  </si>
  <si>
    <t>Company_486</t>
  </si>
  <si>
    <t>A-ac9111</t>
  </si>
  <si>
    <t>Company_487</t>
  </si>
  <si>
    <t>A-18793f</t>
  </si>
  <si>
    <t>Company_488</t>
  </si>
  <si>
    <t>A-9f0b68</t>
  </si>
  <si>
    <t>Company_489</t>
  </si>
  <si>
    <t>A-d3c88e</t>
  </si>
  <si>
    <t>Company_490</t>
  </si>
  <si>
    <t>A-ccb686</t>
  </si>
  <si>
    <t>Company_491</t>
  </si>
  <si>
    <t>A-118f1c</t>
  </si>
  <si>
    <t>Company_492</t>
  </si>
  <si>
    <t>A-0e966d</t>
  </si>
  <si>
    <t>Company_493</t>
  </si>
  <si>
    <t>A-b9f5b1</t>
  </si>
  <si>
    <t>Company_494</t>
  </si>
  <si>
    <t>A-8ae3fc</t>
  </si>
  <si>
    <t>Company_495</t>
  </si>
  <si>
    <t>A-55f257</t>
  </si>
  <si>
    <t>Company_496</t>
  </si>
  <si>
    <t>A-d26ab4</t>
  </si>
  <si>
    <t>Company_497</t>
  </si>
  <si>
    <t>A-712533</t>
  </si>
  <si>
    <t>Company_498</t>
  </si>
  <si>
    <t>A-781cc0</t>
  </si>
  <si>
    <t>Company_499</t>
  </si>
  <si>
    <t>Grand Total</t>
  </si>
  <si>
    <t>Count of account_id</t>
  </si>
  <si>
    <t>Sum of total_mrr</t>
  </si>
  <si>
    <t>FALSE</t>
  </si>
  <si>
    <t>TRUE</t>
  </si>
  <si>
    <t>Plan_Tier</t>
  </si>
  <si>
    <t>Industry</t>
  </si>
  <si>
    <t xml:space="preserve"> </t>
  </si>
  <si>
    <t>pricing</t>
  </si>
  <si>
    <t>support</t>
  </si>
  <si>
    <t>budget</t>
  </si>
  <si>
    <t>unknown</t>
  </si>
  <si>
    <t>features</t>
  </si>
  <si>
    <t>competitor</t>
  </si>
  <si>
    <t>Seats</t>
  </si>
  <si>
    <t>Country</t>
  </si>
  <si>
    <t>Reason Code</t>
  </si>
  <si>
    <t>Account ID</t>
  </si>
  <si>
    <t>Account Name</t>
  </si>
  <si>
    <t>Plan Tier</t>
  </si>
  <si>
    <t>Churn Flag</t>
  </si>
  <si>
    <t>Ticket Count</t>
  </si>
  <si>
    <t>Avg Satisfaction</t>
  </si>
  <si>
    <t>Risk Score</t>
  </si>
  <si>
    <t>Risk Category</t>
  </si>
  <si>
    <t>Customer Segment</t>
  </si>
  <si>
    <t>Monthly Revenue</t>
  </si>
  <si>
    <t>Annual Revenue</t>
  </si>
  <si>
    <t xml:space="preserve">                                                                         SaaS Subscription Analytics Dashboard </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</si>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</sst>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439]* #,##0.00_ ;_ [$₹-439]* \-#,##0.00_ ;_ [$₹-439]* &quot;-&quot;??_ ;_ @_ "/>
    <numFmt numFmtId="165" formatCode="&quot;$&quot;#,##0.00"/>
    <numFmt numFmtId="166" formatCode="\₹0.0,,&quot;M&quot;"/>
  </numFmts>
  <fonts count="8" x14ac:knownFonts="1">
    <font>
      <sz val="11"/>
      <color theme="1"/>
      <name val="Calibri"/>
      <family val="2"/>
      <scheme val="minor"/>
    </font>
    <font>
      <b/>
      <sz val="18"/>
      <color theme="0"/>
      <name val="Bodoni MT Black"/>
      <family val="1"/>
    </font>
    <font>
      <b/>
      <sz val="20"/>
      <color theme="0"/>
      <name val="Franklin Gothic Medium Cond"/>
      <family val="2"/>
    </font>
    <font>
      <sz val="8"/>
      <name val="Calibri"/>
      <family val="2"/>
      <scheme val="minor"/>
    </font>
    <font>
      <sz val="11"/>
      <color theme="1"/>
      <name val="Calibri"/>
      <family val="2"/>
      <scheme val="minor"/>
    </font>
    <font>
      <sz val="10"/>
      <color theme="1"/>
      <name val="Calibri"/>
      <family val="2"/>
      <scheme val="minor"/>
    </font>
    <font>
      <b/>
      <sz val="11"/>
      <color theme="1"/>
      <name val="Calibri"/>
      <family val="2"/>
      <scheme val="minor"/>
    </font>
    <font>
      <sz val="12"/>
      <color theme="1"/>
      <name val="Calibri"/>
      <family val="2"/>
      <scheme val="minor"/>
    </font>
  </fonts>
  <fills count="4">
    <fill>
      <patternFill patternType="none"/>
    </fill>
    <fill>
      <patternFill patternType="gray125"/>
    </fill>
    <fill>
      <patternFill patternType="solid">
        <fgColor theme="8" tint="-0.249977111117893"/>
        <bgColor indexed="64"/>
      </patternFill>
    </fill>
    <fill>
      <patternFill patternType="solid">
        <fgColor theme="0"/>
        <bgColor indexed="64"/>
      </patternFill>
    </fill>
  </fills>
  <borders count="1">
    <border>
      <left/>
      <right/>
      <top/>
      <bottom/>
      <diagonal/>
    </border>
  </borders>
  <cellStyleXfs count="4">
    <xf numFmtId="0" fontId="0" fillId="0" borderId="0"/>
    <xf numFmtId="44"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cellStyleXfs>
  <cellXfs count="13">
    <xf numFmtId="0" fontId="0" fillId="0" borderId="0" xfId="0"/>
    <xf numFmtId="0" fontId="0" fillId="0" borderId="0" xfId="0" pivotButton="1"/>
    <xf numFmtId="0" fontId="0" fillId="0" borderId="0" xfId="0" applyAlignment="1">
      <alignment horizontal="left"/>
    </xf>
    <xf numFmtId="164" fontId="0" fillId="0" borderId="0" xfId="1" applyNumberFormat="1" applyFont="1"/>
    <xf numFmtId="165" fontId="0" fillId="0" borderId="0" xfId="0" applyNumberFormat="1"/>
    <xf numFmtId="0" fontId="0" fillId="2" borderId="0" xfId="0" applyFill="1"/>
    <xf numFmtId="0" fontId="2" fillId="2" borderId="0" xfId="0" applyFont="1" applyFill="1"/>
    <xf numFmtId="0" fontId="1" fillId="2" borderId="0" xfId="0" applyFont="1" applyFill="1"/>
    <xf numFmtId="0" fontId="5" fillId="3" borderId="0" xfId="0" applyFont="1" applyFill="1"/>
    <xf numFmtId="0" fontId="7" fillId="2" borderId="0" xfId="0" applyFont="1" applyFill="1"/>
    <xf numFmtId="166" fontId="0" fillId="0" borderId="0" xfId="2" applyNumberFormat="1" applyFont="1"/>
    <xf numFmtId="2" fontId="6" fillId="0" borderId="0" xfId="3" applyNumberFormat="1" applyFont="1"/>
    <xf numFmtId="0" fontId="0" fillId="0" borderId="0" xfId="0" applyNumberFormat="1"/>
  </cellXfs>
  <cellStyles count="4">
    <cellStyle name="Comma" xfId="2" builtinId="3"/>
    <cellStyle name="Currency" xfId="1" builtinId="4"/>
    <cellStyle name="Normal" xfId="0" builtinId="0"/>
    <cellStyle name="Percent" xfId="3" builtinId="5"/>
  </cellStyles>
  <dxfs count="14">
    <dxf>
      <font>
        <color rgb="FF9C5700"/>
      </font>
      <fill>
        <patternFill>
          <bgColor rgb="FFFFEB9C"/>
        </patternFill>
      </fill>
    </dxf>
    <dxf>
      <font>
        <color rgb="FF9C0006"/>
      </font>
      <fill>
        <patternFill>
          <bgColor rgb="FFFFC7CE"/>
        </patternFill>
      </fill>
    </dxf>
    <dxf>
      <font>
        <color rgb="FF006100"/>
      </font>
      <fill>
        <patternFill>
          <bgColor rgb="FFC6EFCE"/>
        </patternFill>
      </fill>
    </dxf>
    <dxf>
      <numFmt numFmtId="0" formatCode="General"/>
    </dxf>
    <dxf>
      <numFmt numFmtId="0" formatCode="General"/>
    </dxf>
    <dxf>
      <numFmt numFmtId="0" formatCode="General"/>
    </dxf>
    <dxf>
      <numFmt numFmtId="164" formatCode="_ [$₹-439]* #,##0.00_ ;_ [$₹-439]* \-#,##0.00_ ;_ [$₹-439]* &quot;-&quot;??_ ;_ @_ "/>
    </dxf>
    <dxf>
      <numFmt numFmtId="164" formatCode="_ [$₹-439]* #,##0.00_ ;_ [$₹-439]* \-#,##0.00_ ;_ [$₹-439]* &quot;-&quot;??_ ;_ @_ "/>
    </dxf>
    <dxf>
      <numFmt numFmtId="0" formatCode="General"/>
    </dxf>
    <dxf>
      <numFmt numFmtId="0" formatCode="General"/>
    </dxf>
    <dxf>
      <numFmt numFmtId="0" formatCode="General"/>
    </dxf>
    <dxf>
      <numFmt numFmtId="0" formatCode="General"/>
    </dxf>
    <dxf>
      <numFmt numFmtId="0" formatCode="General"/>
    </dxf>
    <dxf>
      <numFmt numFmtId="165" formatCode="&quot;$&quot;#,##0.00"/>
    </dxf>
  </dxfs>
  <tableStyles count="0" defaultTableStyle="TableStyleMedium2" defaultPivotStyle="PivotStyleLight16"/>
  <colors>
    <mruColors>
      <color rgb="FF2E7D32"/>
      <color rgb="FFF7FCF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18" Type="http://schemas.openxmlformats.org/officeDocument/2006/relationships/customXml" Target="../customXml/item6.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[customer_churn.xlsx]Pivot_Tables!PivotTable5</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Revenue by Plan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Pivot_Tables!$E$3</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Pivot_Tables!$D$4:$D$7</c:f>
              <c:strCache>
                <c:ptCount val="3"/>
                <c:pt idx="0">
                  <c:v>Basic</c:v>
                </c:pt>
                <c:pt idx="1">
                  <c:v>Enterprise</c:v>
                </c:pt>
                <c:pt idx="2">
                  <c:v>Pro</c:v>
                </c:pt>
              </c:strCache>
            </c:strRef>
          </c:cat>
          <c:val>
            <c:numRef>
              <c:f>Pivot_Tables!$E$4:$E$7</c:f>
              <c:numCache>
                <c:formatCode>General</c:formatCode>
                <c:ptCount val="3"/>
                <c:pt idx="0">
                  <c:v>4047874</c:v>
                </c:pt>
                <c:pt idx="1">
                  <c:v>3322156</c:v>
                </c:pt>
                <c:pt idx="2">
                  <c:v>3968717</c:v>
                </c:pt>
              </c:numCache>
            </c:numRef>
          </c:val>
          <c:extLst>
            <c:ext xmlns:c16="http://schemas.microsoft.com/office/drawing/2014/chart" uri="{C3380CC4-5D6E-409C-BE32-E72D297353CC}">
              <c16:uniqueId val="{00000000-5747-480D-936A-28B3E7F7E8F1}"/>
            </c:ext>
          </c:extLst>
        </c:ser>
        <c:dLbls>
          <c:dLblPos val="outEnd"/>
          <c:showLegendKey val="0"/>
          <c:showVal val="1"/>
          <c:showCatName val="0"/>
          <c:showSerName val="0"/>
          <c:showPercent val="0"/>
          <c:showBubbleSize val="0"/>
        </c:dLbls>
        <c:gapWidth val="219"/>
        <c:overlap val="-27"/>
        <c:axId val="824984992"/>
        <c:axId val="824996512"/>
      </c:barChart>
      <c:catAx>
        <c:axId val="82498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4996512"/>
        <c:crosses val="autoZero"/>
        <c:auto val="1"/>
        <c:lblAlgn val="ctr"/>
        <c:lblOffset val="100"/>
        <c:noMultiLvlLbl val="0"/>
      </c:catAx>
      <c:valAx>
        <c:axId val="82499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24984992"/>
        <c:crosses val="autoZero"/>
        <c:crossBetween val="between"/>
        <c:dispUnits>
          <c:builtInUnit val="millions"/>
          <c:dispUnitsLbl>
            <c:layout>
              <c:manualLayout>
                <c:xMode val="edge"/>
                <c:yMode val="edge"/>
                <c:x val="2.2754621640585823E-2"/>
                <c:y val="0.43654152568094473"/>
              </c:manualLayout>
            </c:layout>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sz="1050"/>
                    <a:t>Mil</a:t>
                  </a:r>
                  <a:r>
                    <a:rPr lang="en-US"/>
                    <a:t>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[customer_churn.xlsx]Pivot_Tables!PivotTable6</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Risk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Pivot_Tables!$H$3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B5-484B-86C3-494301FC2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B5-484B-86C3-494301FC2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B5-484B-86C3-494301FC2AEE}"/>
              </c:ext>
            </c:extLst>
          </c:dPt>
          <c:cat>
            <c:strRef>
              <c:f>Pivot_Tables!$G$4:$G$7</c:f>
              <c:strCache>
                <c:ptCount val="3"/>
                <c:pt idx="0">
                  <c:v>High Risk</c:v>
                </c:pt>
                <c:pt idx="1">
                  <c:v>Low Risk</c:v>
                </c:pt>
                <c:pt idx="2">
                  <c:v>Medium Risk</c:v>
                </c:pt>
              </c:strCache>
            </c:strRef>
          </c:cat>
          <c:val>
            <c:numRef>
              <c:f>Pivot_Tables!$H$4:$H$7</c:f>
              <c:numCache>
                <c:formatCode>General</c:formatCode>
                <c:ptCount val="3"/>
                <c:pt idx="0">
                  <c:v>79</c:v>
                </c:pt>
                <c:pt idx="1">
                  <c:v>247</c:v>
                </c:pt>
                <c:pt idx="2">
                  <c:v>174</c:v>
                </c:pt>
              </c:numCache>
            </c:numRef>
          </c:val>
          <c:extLst>
            <c:ext xmlns:c16="http://schemas.microsoft.com/office/drawing/2014/chart" uri="{C3380CC4-5D6E-409C-BE32-E72D297353CC}">
              <c16:uniqueId val="{00000006-67B5-484B-86C3-494301FC2A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322006213565794"/>
          <c:y val="0.39709811898239877"/>
          <c:w val="0.24635574178562689"/>
          <c:h val="0.297648688021005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[customer_churn.xlsx]Pivot_Tables!PivotTable7</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Churn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Pivot_Tables!$K$3</c:f>
              <c:strCache>
                <c:ptCount val="1"/>
                <c:pt idx="0">
                  <c:v>Total</c:v>
                </c:pt>
              </c:strCache>
            </c:strRef>
          </c:tx>
          <c:explosion val="37"/>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B3-4F77-871C-F163984BF5C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B3-4F77-871C-F163984BF5C6}"/>
              </c:ext>
            </c:extLst>
          </c:dPt>
          <c:cat>
            <c:strRef>
              <c:f>Pivot_Tables!$J$4:$J$6</c:f>
              <c:strCache>
                <c:ptCount val="2"/>
                <c:pt idx="0">
                  <c:v>FALSE</c:v>
                </c:pt>
                <c:pt idx="1">
                  <c:v>TRUE</c:v>
                </c:pt>
              </c:strCache>
            </c:strRef>
          </c:cat>
          <c:val>
            <c:numRef>
              <c:f>Pivot_Tables!$K$4:$K$6</c:f>
              <c:numCache>
                <c:formatCode>General</c:formatCode>
                <c:ptCount val="2"/>
                <c:pt idx="0">
                  <c:v>390</c:v>
                </c:pt>
                <c:pt idx="1">
                  <c:v>110</c:v>
                </c:pt>
              </c:numCache>
            </c:numRef>
          </c:val>
          <c:extLst>
            <c:ext xmlns:c16="http://schemas.microsoft.com/office/drawing/2014/chart" uri="{C3380CC4-5D6E-409C-BE32-E72D297353CC}">
              <c16:uniqueId val="{00000004-E7B3-4F77-871C-F163984BF5C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4668790520779502"/>
          <c:y val="0.43968957346256932"/>
          <c:w val="0.136448147234213"/>
          <c:h val="0.212844413811596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[customer_churn.xlsx]Pivot_Tables!PivotTable2</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Customers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Pivot_Tables!$A$4:$A$9</c:f>
              <c:strCache>
                <c:ptCount val="5"/>
                <c:pt idx="0">
                  <c:v>Cybersecurity</c:v>
                </c:pt>
                <c:pt idx="1">
                  <c:v>DevTools</c:v>
                </c:pt>
                <c:pt idx="2">
                  <c:v>EdTech</c:v>
                </c:pt>
                <c:pt idx="3">
                  <c:v>FinTech</c:v>
                </c:pt>
                <c:pt idx="4">
                  <c:v>HealthTech</c:v>
                </c:pt>
              </c:strCache>
            </c:strRef>
          </c:cat>
          <c:val>
            <c:numRef>
              <c:f>Pivot_Tables!$B$4:$B$9</c:f>
              <c:numCache>
                <c:formatCode>General</c:formatCode>
                <c:ptCount val="5"/>
                <c:pt idx="0">
                  <c:v>100</c:v>
                </c:pt>
                <c:pt idx="1">
                  <c:v>113</c:v>
                </c:pt>
                <c:pt idx="2">
                  <c:v>79</c:v>
                </c:pt>
                <c:pt idx="3">
                  <c:v>112</c:v>
                </c:pt>
                <c:pt idx="4">
                  <c:v>96</c:v>
                </c:pt>
              </c:numCache>
            </c:numRef>
          </c:val>
          <c:extLst>
            <c:ext xmlns:c16="http://schemas.microsoft.com/office/drawing/2014/chart" uri="{C3380CC4-5D6E-409C-BE32-E72D297353CC}">
              <c16:uniqueId val="{00000000-73A1-4C4F-A864-7D1C63E56450}"/>
            </c:ext>
          </c:extLst>
        </c:ser>
        <c:dLbls>
          <c:showLegendKey val="0"/>
          <c:showVal val="0"/>
          <c:showCatName val="0"/>
          <c:showSerName val="0"/>
          <c:showPercent val="0"/>
          <c:showBubbleSize val="0"/>
        </c:dLbls>
        <c:gapWidth val="219"/>
        <c:overlap val="-27"/>
        <c:axId val="791834319"/>
        <c:axId val="791831439"/>
      </c:barChart>
      <c:catAx>
        <c:axId val="79183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1831439"/>
        <c:crosses val="autoZero"/>
        <c:auto val="1"/>
        <c:lblAlgn val="ctr"/>
        <c:lblOffset val="100"/>
        <c:noMultiLvlLbl val="0"/>
      </c:catAx>
      <c:valAx>
        <c:axId val="791831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9183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4396</xdr:colOff>
      <xdr:row>7</xdr:row>
      <xdr:rowOff>113568</xdr:rowOff>
    </xdr:from>
    <xdr:to>
      <xdr:col>26</xdr:col>
      <xdr:colOff>512884</xdr:colOff>
      <xdr:row>20</xdr:row>
      <xdr:rowOff>170717</xdr:rowOff>
    </xdr:to>
    <xdr:graphicFrame macro="">
      <xdr:nvGraphicFramePr>
        <xdr:cNvPr id="3" name="Chart 2">
          <a:extLst>
            <a:ext uri="{FF2B5EF4-FFF2-40B4-BE49-F238E27FC236}">
              <a16:creationId xmlns:a16="http://schemas.microsoft.com/office/drawing/2014/main" id="{9BF7A3A6-DCF3-4028-B3BB-4BEF705E4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234462</xdr:colOff>
      <xdr:row>8</xdr:row>
      <xdr:rowOff>19050</xdr:rowOff>
    </xdr:from>
    <xdr:to>
      <xdr:col>4</xdr:col>
      <xdr:colOff>594946</xdr:colOff>
      <xdr:row>21</xdr:row>
      <xdr:rowOff>43962</xdr:rowOff>
    </xdr:to>
    <xdr:graphicFrame macro="">
      <xdr:nvGraphicFramePr>
        <xdr:cNvPr id="4" name="Chart 3">
          <a:extLst>
            <a:ext uri="{FF2B5EF4-FFF2-40B4-BE49-F238E27FC236}">
              <a16:creationId xmlns:a16="http://schemas.microsoft.com/office/drawing/2014/main" id="{B3E6CBBF-9338-40FF-8E76-683F0F730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595677</xdr:colOff>
      <xdr:row>7</xdr:row>
      <xdr:rowOff>175847</xdr:rowOff>
    </xdr:from>
    <xdr:to>
      <xdr:col>11</xdr:col>
      <xdr:colOff>586153</xdr:colOff>
      <xdr:row>21</xdr:row>
      <xdr:rowOff>0</xdr:rowOff>
    </xdr:to>
    <xdr:graphicFrame macro="">
      <xdr:nvGraphicFramePr>
        <xdr:cNvPr id="5" name="Chart 4">
          <a:extLst>
            <a:ext uri="{FF2B5EF4-FFF2-40B4-BE49-F238E27FC236}">
              <a16:creationId xmlns:a16="http://schemas.microsoft.com/office/drawing/2014/main" id="{89958345-9A6F-4CB6-B43E-709F918FF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454269</xdr:colOff>
      <xdr:row>1</xdr:row>
      <xdr:rowOff>190501</xdr:rowOff>
    </xdr:from>
    <xdr:to>
      <xdr:col>5</xdr:col>
      <xdr:colOff>14653</xdr:colOff>
      <xdr:row>5</xdr:row>
      <xdr:rowOff>161192</xdr:rowOff>
    </xdr:to>
    <xdr:sp macro="" textlink="">
      <xdr:nvSpPr>
        <xdr:cNvPr id="10" name="Rectangle: Rounded Corners 9">
          <a:extLst>
            <a:ext uri="{FF2B5EF4-FFF2-40B4-BE49-F238E27FC236}">
              <a16:creationId xmlns:a16="http://schemas.microsoft.com/office/drawing/2014/main" id="{82DCE324-5DA1-E15C-CAC4-78F27A38671C}"/>
            </a:ext>
          </a:extLst>
        </xdr:cNvPr>
        <xdr:cNvSpPr/>
      </xdr:nvSpPr>
      <xdr:spPr>
        <a:xfrm>
          <a:off x="1333500" y="688732"/>
          <a:ext cx="2666999" cy="967152"/>
        </a:xfrm>
        <a:prstGeom prst="roundRect">
          <a:avLst/>
        </a:prstGeom>
        <a:solidFill>
          <a:srgbClr val="F7FCF7"/>
        </a:solidFill>
        <a:ln w="28575">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CustomersTotal CTustomersT</a:t>
          </a:r>
          <a:endParaRPr lang="en-US" sz="1100"/>
        </a:p>
      </xdr:txBody>
    </xdr:sp>
    <xdr:clientData/>
  </xdr:twoCellAnchor>
  <xdr:oneCellAnchor>
    <xdr:from>
      <xdr:col>1</xdr:col>
      <xdr:colOff>1025769</xdr:colOff>
      <xdr:row>1</xdr:row>
      <xdr:rowOff>175845</xdr:rowOff>
    </xdr:from>
    <xdr:ext cx="1919756" cy="405432"/>
    <xdr:sp macro="" textlink="">
      <xdr:nvSpPr>
        <xdr:cNvPr id="11" name="TextBox 10">
          <a:extLst>
            <a:ext uri="{FF2B5EF4-FFF2-40B4-BE49-F238E27FC236}">
              <a16:creationId xmlns:a16="http://schemas.microsoft.com/office/drawing/2014/main" id="{140643F1-0409-CBF5-9D34-1ECFBCCD11B8}"/>
            </a:ext>
          </a:extLst>
        </xdr:cNvPr>
        <xdr:cNvSpPr txBox="1"/>
      </xdr:nvSpPr>
      <xdr:spPr>
        <a:xfrm>
          <a:off x="1905000" y="674076"/>
          <a:ext cx="191975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lumMod val="10000"/>
                </a:schemeClr>
              </a:solidFill>
            </a:rPr>
            <a:t>Total Customers</a:t>
          </a:r>
        </a:p>
      </xdr:txBody>
    </xdr:sp>
    <xdr:clientData/>
  </xdr:oneCellAnchor>
  <xdr:oneCellAnchor>
    <xdr:from>
      <xdr:col>2</xdr:col>
      <xdr:colOff>157532</xdr:colOff>
      <xdr:row>2</xdr:row>
      <xdr:rowOff>146539</xdr:rowOff>
    </xdr:from>
    <xdr:ext cx="652679" cy="424962"/>
    <xdr:sp macro="" textlink="Dashboard!D2">
      <xdr:nvSpPr>
        <xdr:cNvPr id="12" name="TextBox 11">
          <a:extLst>
            <a:ext uri="{FF2B5EF4-FFF2-40B4-BE49-F238E27FC236}">
              <a16:creationId xmlns:a16="http://schemas.microsoft.com/office/drawing/2014/main" id="{BD2A5B98-D946-B52A-1D5A-80906738C24D}"/>
            </a:ext>
          </a:extLst>
        </xdr:cNvPr>
        <xdr:cNvSpPr txBox="1"/>
      </xdr:nvSpPr>
      <xdr:spPr>
        <a:xfrm>
          <a:off x="2296994" y="1069731"/>
          <a:ext cx="652679" cy="424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06407D8-69B3-4BB2-8FEF-2F6179D0B611}" type="TxLink">
            <a:rPr lang="en-US" sz="2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500</a:t>
          </a:fld>
          <a:endParaRPr lang="en-US" sz="1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1</xdr:col>
      <xdr:colOff>542191</xdr:colOff>
      <xdr:row>1</xdr:row>
      <xdr:rowOff>161193</xdr:rowOff>
    </xdr:from>
    <xdr:to>
      <xdr:col>1</xdr:col>
      <xdr:colOff>1055074</xdr:colOff>
      <xdr:row>3</xdr:row>
      <xdr:rowOff>58615</xdr:rowOff>
    </xdr:to>
    <xdr:pic>
      <xdr:nvPicPr>
        <xdr:cNvPr id="14" name="Graphic 13" descr="Users with solid fill">
          <a:extLst>
            <a:ext uri="{FF2B5EF4-FFF2-40B4-BE49-F238E27FC236}">
              <a16:creationId xmlns:a16="http://schemas.microsoft.com/office/drawing/2014/main" id="{37285ED6-428E-FB3C-16E9-A5FF72B2B77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21422" y="659424"/>
          <a:ext cx="512883" cy="512883"/>
        </a:xfrm>
        <a:prstGeom prst="rect">
          <a:avLst/>
        </a:prstGeom>
      </xdr:spPr>
    </xdr:pic>
    <xdr:clientData/>
  </xdr:twoCellAnchor>
  <xdr:twoCellAnchor>
    <xdr:from>
      <xdr:col>6</xdr:col>
      <xdr:colOff>73269</xdr:colOff>
      <xdr:row>1</xdr:row>
      <xdr:rowOff>190500</xdr:rowOff>
    </xdr:from>
    <xdr:to>
      <xdr:col>8</xdr:col>
      <xdr:colOff>600808</xdr:colOff>
      <xdr:row>5</xdr:row>
      <xdr:rowOff>161191</xdr:rowOff>
    </xdr:to>
    <xdr:sp macro="" textlink="">
      <xdr:nvSpPr>
        <xdr:cNvPr id="15" name="Rectangle: Rounded Corners 14">
          <a:extLst>
            <a:ext uri="{FF2B5EF4-FFF2-40B4-BE49-F238E27FC236}">
              <a16:creationId xmlns:a16="http://schemas.microsoft.com/office/drawing/2014/main" id="{2701BC53-C09C-4E24-8EF7-05B9B488B465}"/>
            </a:ext>
          </a:extLst>
        </xdr:cNvPr>
        <xdr:cNvSpPr/>
      </xdr:nvSpPr>
      <xdr:spPr>
        <a:xfrm>
          <a:off x="4674577" y="688731"/>
          <a:ext cx="2593731" cy="967152"/>
        </a:xfrm>
        <a:prstGeom prst="roundRect">
          <a:avLst/>
        </a:prstGeom>
        <a:solidFill>
          <a:srgbClr val="F7FCF7"/>
        </a:solidFill>
        <a:ln w="28575">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87924</xdr:colOff>
      <xdr:row>1</xdr:row>
      <xdr:rowOff>190501</xdr:rowOff>
    </xdr:from>
    <xdr:to>
      <xdr:col>14</xdr:col>
      <xdr:colOff>571502</xdr:colOff>
      <xdr:row>5</xdr:row>
      <xdr:rowOff>161192</xdr:rowOff>
    </xdr:to>
    <xdr:sp macro="" textlink="">
      <xdr:nvSpPr>
        <xdr:cNvPr id="16" name="Rectangle: Rounded Corners 15">
          <a:extLst>
            <a:ext uri="{FF2B5EF4-FFF2-40B4-BE49-F238E27FC236}">
              <a16:creationId xmlns:a16="http://schemas.microsoft.com/office/drawing/2014/main" id="{0D56757F-F3DE-4B4C-AD63-FB5999C1B0C2}"/>
            </a:ext>
          </a:extLst>
        </xdr:cNvPr>
        <xdr:cNvSpPr/>
      </xdr:nvSpPr>
      <xdr:spPr>
        <a:xfrm>
          <a:off x="7986347" y="688732"/>
          <a:ext cx="2945424" cy="967152"/>
        </a:xfrm>
        <a:prstGeom prst="roundRect">
          <a:avLst/>
        </a:prstGeom>
        <a:solidFill>
          <a:srgbClr val="F7FCF7"/>
        </a:solidFill>
        <a:ln w="28575">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CustomersTotal CTustomersT</a:t>
          </a:r>
          <a:endParaRPr lang="en-US" sz="1100"/>
        </a:p>
      </xdr:txBody>
    </xdr:sp>
    <xdr:clientData/>
  </xdr:twoCellAnchor>
  <xdr:twoCellAnchor>
    <xdr:from>
      <xdr:col>15</xdr:col>
      <xdr:colOff>615462</xdr:colOff>
      <xdr:row>1</xdr:row>
      <xdr:rowOff>205155</xdr:rowOff>
    </xdr:from>
    <xdr:to>
      <xdr:col>20</xdr:col>
      <xdr:colOff>29308</xdr:colOff>
      <xdr:row>5</xdr:row>
      <xdr:rowOff>175846</xdr:rowOff>
    </xdr:to>
    <xdr:sp macro="" textlink="">
      <xdr:nvSpPr>
        <xdr:cNvPr id="17" name="Rectangle: Rounded Corners 16">
          <a:extLst>
            <a:ext uri="{FF2B5EF4-FFF2-40B4-BE49-F238E27FC236}">
              <a16:creationId xmlns:a16="http://schemas.microsoft.com/office/drawing/2014/main" id="{FFF47C9A-597E-4EF1-AFD5-0078B79E20FB}"/>
            </a:ext>
          </a:extLst>
        </xdr:cNvPr>
        <xdr:cNvSpPr/>
      </xdr:nvSpPr>
      <xdr:spPr>
        <a:xfrm>
          <a:off x="11591193" y="703386"/>
          <a:ext cx="3062653" cy="967152"/>
        </a:xfrm>
        <a:prstGeom prst="roundRect">
          <a:avLst/>
        </a:prstGeom>
        <a:solidFill>
          <a:srgbClr val="F7FCF7"/>
        </a:solidFill>
        <a:ln w="28575">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CustomersTotal CTustomersT</a:t>
          </a:r>
          <a:endParaRPr lang="en-US" sz="1100"/>
        </a:p>
      </xdr:txBody>
    </xdr:sp>
    <xdr:clientData/>
  </xdr:twoCellAnchor>
  <xdr:twoCellAnchor>
    <xdr:from>
      <xdr:col>20</xdr:col>
      <xdr:colOff>600807</xdr:colOff>
      <xdr:row>1</xdr:row>
      <xdr:rowOff>190498</xdr:rowOff>
    </xdr:from>
    <xdr:to>
      <xdr:col>24</xdr:col>
      <xdr:colOff>571500</xdr:colOff>
      <xdr:row>5</xdr:row>
      <xdr:rowOff>161189</xdr:rowOff>
    </xdr:to>
    <xdr:sp macro="" textlink="">
      <xdr:nvSpPr>
        <xdr:cNvPr id="18" name="Rectangle: Rounded Corners 17">
          <a:extLst>
            <a:ext uri="{FF2B5EF4-FFF2-40B4-BE49-F238E27FC236}">
              <a16:creationId xmlns:a16="http://schemas.microsoft.com/office/drawing/2014/main" id="{D11918F1-6E8D-4874-8514-A8A49EC842EF}"/>
            </a:ext>
          </a:extLst>
        </xdr:cNvPr>
        <xdr:cNvSpPr/>
      </xdr:nvSpPr>
      <xdr:spPr>
        <a:xfrm>
          <a:off x="15225345" y="688729"/>
          <a:ext cx="2696309" cy="967152"/>
        </a:xfrm>
        <a:prstGeom prst="roundRect">
          <a:avLst/>
        </a:prstGeom>
        <a:solidFill>
          <a:srgbClr val="F7FCF7"/>
        </a:solidFill>
        <a:ln w="28575">
          <a:solidFill>
            <a:srgbClr val="2E7D32"/>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Total CustomersTotal CTustomersT</a:t>
          </a:r>
          <a:endParaRPr lang="en-US" sz="1100"/>
        </a:p>
      </xdr:txBody>
    </xdr:sp>
    <xdr:clientData/>
  </xdr:twoCellAnchor>
  <xdr:oneCellAnchor>
    <xdr:from>
      <xdr:col>7</xdr:col>
      <xdr:colOff>123093</xdr:colOff>
      <xdr:row>1</xdr:row>
      <xdr:rowOff>181707</xdr:rowOff>
    </xdr:from>
    <xdr:ext cx="1371466" cy="405432"/>
    <xdr:sp macro="" textlink="">
      <xdr:nvSpPr>
        <xdr:cNvPr id="9" name="TextBox 8">
          <a:extLst>
            <a:ext uri="{FF2B5EF4-FFF2-40B4-BE49-F238E27FC236}">
              <a16:creationId xmlns:a16="http://schemas.microsoft.com/office/drawing/2014/main" id="{4A276C5C-CADB-4019-BCBA-E9484739A6AD}"/>
            </a:ext>
          </a:extLst>
        </xdr:cNvPr>
        <xdr:cNvSpPr txBox="1"/>
      </xdr:nvSpPr>
      <xdr:spPr>
        <a:xfrm>
          <a:off x="5339862" y="679938"/>
          <a:ext cx="137146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lumMod val="10000"/>
                </a:schemeClr>
              </a:solidFill>
            </a:rPr>
            <a:t>Churn</a:t>
          </a:r>
          <a:r>
            <a:rPr lang="en-US" sz="2000" b="1" baseline="0">
              <a:solidFill>
                <a:schemeClr val="bg2">
                  <a:lumMod val="10000"/>
                </a:schemeClr>
              </a:solidFill>
            </a:rPr>
            <a:t> Rate</a:t>
          </a:r>
          <a:endParaRPr lang="en-US" sz="2000" b="1">
            <a:solidFill>
              <a:schemeClr val="bg2">
                <a:lumMod val="10000"/>
              </a:schemeClr>
            </a:solidFill>
          </a:endParaRPr>
        </a:p>
      </xdr:txBody>
    </xdr:sp>
    <xdr:clientData/>
  </xdr:oneCellAnchor>
  <xdr:oneCellAnchor>
    <xdr:from>
      <xdr:col>21</xdr:col>
      <xdr:colOff>465994</xdr:colOff>
      <xdr:row>1</xdr:row>
      <xdr:rowOff>158260</xdr:rowOff>
    </xdr:from>
    <xdr:ext cx="1885644" cy="405432"/>
    <xdr:sp macro="" textlink="">
      <xdr:nvSpPr>
        <xdr:cNvPr id="13" name="TextBox 12">
          <a:extLst>
            <a:ext uri="{FF2B5EF4-FFF2-40B4-BE49-F238E27FC236}">
              <a16:creationId xmlns:a16="http://schemas.microsoft.com/office/drawing/2014/main" id="{C0D2E76B-5D7E-483F-BBF8-0C1D3C4FCEA4}"/>
            </a:ext>
          </a:extLst>
        </xdr:cNvPr>
        <xdr:cNvSpPr txBox="1"/>
      </xdr:nvSpPr>
      <xdr:spPr>
        <a:xfrm>
          <a:off x="15705994" y="656491"/>
          <a:ext cx="188564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lumMod val="10000"/>
                </a:schemeClr>
              </a:solidFill>
            </a:rPr>
            <a:t>Avg</a:t>
          </a:r>
          <a:r>
            <a:rPr lang="en-US" sz="2000" b="1" baseline="0">
              <a:solidFill>
                <a:schemeClr val="bg2">
                  <a:lumMod val="10000"/>
                </a:schemeClr>
              </a:solidFill>
            </a:rPr>
            <a:t> </a:t>
          </a:r>
          <a:r>
            <a:rPr lang="en-US" sz="2000" b="1">
              <a:solidFill>
                <a:schemeClr val="bg2">
                  <a:lumMod val="10000"/>
                </a:schemeClr>
              </a:solidFill>
            </a:rPr>
            <a:t>Satisfaction</a:t>
          </a:r>
        </a:p>
      </xdr:txBody>
    </xdr:sp>
    <xdr:clientData/>
  </xdr:oneCellAnchor>
  <xdr:oneCellAnchor>
    <xdr:from>
      <xdr:col>15</xdr:col>
      <xdr:colOff>1028701</xdr:colOff>
      <xdr:row>1</xdr:row>
      <xdr:rowOff>164122</xdr:rowOff>
    </xdr:from>
    <xdr:ext cx="2693173" cy="405432"/>
    <xdr:sp macro="" textlink="">
      <xdr:nvSpPr>
        <xdr:cNvPr id="19" name="TextBox 18">
          <a:extLst>
            <a:ext uri="{FF2B5EF4-FFF2-40B4-BE49-F238E27FC236}">
              <a16:creationId xmlns:a16="http://schemas.microsoft.com/office/drawing/2014/main" id="{F1C5E7C4-CC84-4200-A10F-BC37F2F22DC9}"/>
            </a:ext>
          </a:extLst>
        </xdr:cNvPr>
        <xdr:cNvSpPr txBox="1"/>
      </xdr:nvSpPr>
      <xdr:spPr>
        <a:xfrm>
          <a:off x="12004432" y="662353"/>
          <a:ext cx="269317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lumMod val="10000"/>
                </a:schemeClr>
              </a:solidFill>
            </a:rPr>
            <a:t>Annual Revenue at Risk</a:t>
          </a:r>
        </a:p>
      </xdr:txBody>
    </xdr:sp>
    <xdr:clientData/>
  </xdr:oneCellAnchor>
  <xdr:oneCellAnchor>
    <xdr:from>
      <xdr:col>10</xdr:col>
      <xdr:colOff>580294</xdr:colOff>
      <xdr:row>1</xdr:row>
      <xdr:rowOff>169983</xdr:rowOff>
    </xdr:from>
    <xdr:ext cx="2351093" cy="405432"/>
    <xdr:sp macro="" textlink="">
      <xdr:nvSpPr>
        <xdr:cNvPr id="20" name="TextBox 19">
          <a:extLst>
            <a:ext uri="{FF2B5EF4-FFF2-40B4-BE49-F238E27FC236}">
              <a16:creationId xmlns:a16="http://schemas.microsoft.com/office/drawing/2014/main" id="{3E1533B2-1FAD-43EA-BC61-F1EEEE98A601}"/>
            </a:ext>
          </a:extLst>
        </xdr:cNvPr>
        <xdr:cNvSpPr txBox="1"/>
      </xdr:nvSpPr>
      <xdr:spPr>
        <a:xfrm>
          <a:off x="8478717" y="668214"/>
          <a:ext cx="235109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bg2">
                  <a:lumMod val="10000"/>
                </a:schemeClr>
              </a:solidFill>
            </a:rPr>
            <a:t>High Risk Customers</a:t>
          </a:r>
        </a:p>
      </xdr:txBody>
    </xdr:sp>
    <xdr:clientData/>
  </xdr:oneCellAnchor>
  <xdr:oneCellAnchor>
    <xdr:from>
      <xdr:col>22</xdr:col>
      <xdr:colOff>383199</xdr:colOff>
      <xdr:row>2</xdr:row>
      <xdr:rowOff>108441</xdr:rowOff>
    </xdr:from>
    <xdr:ext cx="920992" cy="424962"/>
    <xdr:sp macro="" textlink="Dashboard!W2">
      <xdr:nvSpPr>
        <xdr:cNvPr id="21" name="TextBox 20">
          <a:extLst>
            <a:ext uri="{FF2B5EF4-FFF2-40B4-BE49-F238E27FC236}">
              <a16:creationId xmlns:a16="http://schemas.microsoft.com/office/drawing/2014/main" id="{4D9D5F98-69B9-4FEA-94B0-359B4DF26BE8}"/>
            </a:ext>
          </a:extLst>
        </xdr:cNvPr>
        <xdr:cNvSpPr txBox="1"/>
      </xdr:nvSpPr>
      <xdr:spPr>
        <a:xfrm>
          <a:off x="16238661" y="1031633"/>
          <a:ext cx="920992" cy="424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D2B5CE9-D583-4DDE-B214-1329BD854BD0}"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2.33</a:t>
          </a:fld>
          <a:endParaRPr lang="en-US" sz="3200" b="0" cap="none" spc="0">
            <a:ln w="0"/>
            <a:solidFill>
              <a:srgbClr val="00B050"/>
            </a:solidFill>
            <a:effectLst>
              <a:outerShdw blurRad="38100" dist="19050" dir="2700000" algn="tl" rotWithShape="0">
                <a:schemeClr val="dk1">
                  <a:alpha val="40000"/>
                </a:schemeClr>
              </a:outerShdw>
            </a:effectLst>
          </a:endParaRPr>
        </a:p>
      </xdr:txBody>
    </xdr:sp>
    <xdr:clientData/>
  </xdr:oneCellAnchor>
  <xdr:oneCellAnchor>
    <xdr:from>
      <xdr:col>16</xdr:col>
      <xdr:colOff>330446</xdr:colOff>
      <xdr:row>2</xdr:row>
      <xdr:rowOff>114302</xdr:rowOff>
    </xdr:from>
    <xdr:ext cx="1457323" cy="424962"/>
    <xdr:sp macro="" textlink="Dashboard!P2">
      <xdr:nvSpPr>
        <xdr:cNvPr id="22" name="TextBox 21">
          <a:extLst>
            <a:ext uri="{FF2B5EF4-FFF2-40B4-BE49-F238E27FC236}">
              <a16:creationId xmlns:a16="http://schemas.microsoft.com/office/drawing/2014/main" id="{93D8D35B-E407-43E7-87D3-789B4F4B6ADC}"/>
            </a:ext>
          </a:extLst>
        </xdr:cNvPr>
        <xdr:cNvSpPr txBox="1"/>
      </xdr:nvSpPr>
      <xdr:spPr>
        <a:xfrm>
          <a:off x="12493138" y="1037494"/>
          <a:ext cx="1457323" cy="424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18857A0D-4991-4DF9-8A65-BC86928AB994}"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₹21.9M</a:t>
          </a:fld>
          <a:endParaRPr lang="en-US" sz="3200" b="0" cap="none" spc="0">
            <a:ln w="0"/>
            <a:solidFill>
              <a:srgbClr val="00B050"/>
            </a:solidFill>
            <a:effectLst>
              <a:outerShdw blurRad="38100" dist="19050" dir="2700000" algn="tl" rotWithShape="0">
                <a:schemeClr val="dk1">
                  <a:alpha val="40000"/>
                </a:schemeClr>
              </a:outerShdw>
            </a:effectLst>
          </a:endParaRPr>
        </a:p>
      </xdr:txBody>
    </xdr:sp>
    <xdr:clientData/>
  </xdr:oneCellAnchor>
  <xdr:oneCellAnchor>
    <xdr:from>
      <xdr:col>12</xdr:col>
      <xdr:colOff>204423</xdr:colOff>
      <xdr:row>2</xdr:row>
      <xdr:rowOff>149471</xdr:rowOff>
    </xdr:from>
    <xdr:ext cx="652679" cy="424962"/>
    <xdr:sp macro="" textlink="Dashboard!L2">
      <xdr:nvSpPr>
        <xdr:cNvPr id="23" name="TextBox 22">
          <a:extLst>
            <a:ext uri="{FF2B5EF4-FFF2-40B4-BE49-F238E27FC236}">
              <a16:creationId xmlns:a16="http://schemas.microsoft.com/office/drawing/2014/main" id="{7DB5FEB7-B372-4E19-A8C0-9A27DCC5D0A4}"/>
            </a:ext>
          </a:extLst>
        </xdr:cNvPr>
        <xdr:cNvSpPr txBox="1"/>
      </xdr:nvSpPr>
      <xdr:spPr>
        <a:xfrm>
          <a:off x="9333769" y="1072663"/>
          <a:ext cx="652679" cy="4249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9EC7879-239B-45B4-A202-3B5B6C1A5412}"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79</a:t>
          </a:fld>
          <a:endParaRPr lang="en-US" sz="3200" b="0" cap="none" spc="0">
            <a:ln w="0"/>
            <a:solidFill>
              <a:srgbClr val="00B050"/>
            </a:solidFill>
            <a:effectLst>
              <a:outerShdw blurRad="38100" dist="19050" dir="2700000" algn="tl" rotWithShape="0">
                <a:schemeClr val="dk1">
                  <a:alpha val="40000"/>
                </a:schemeClr>
              </a:outerShdw>
            </a:effectLst>
          </a:endParaRPr>
        </a:p>
      </xdr:txBody>
    </xdr:sp>
    <xdr:clientData/>
  </xdr:oneCellAnchor>
  <xdr:oneCellAnchor>
    <xdr:from>
      <xdr:col>7</xdr:col>
      <xdr:colOff>298210</xdr:colOff>
      <xdr:row>2</xdr:row>
      <xdr:rowOff>155331</xdr:rowOff>
    </xdr:from>
    <xdr:ext cx="830137" cy="504092"/>
    <xdr:sp macro="" textlink="Dashboard!H2">
      <xdr:nvSpPr>
        <xdr:cNvPr id="24" name="TextBox 23">
          <a:extLst>
            <a:ext uri="{FF2B5EF4-FFF2-40B4-BE49-F238E27FC236}">
              <a16:creationId xmlns:a16="http://schemas.microsoft.com/office/drawing/2014/main" id="{F5666519-532D-40A0-9037-7F406FB4FF19}"/>
            </a:ext>
          </a:extLst>
        </xdr:cNvPr>
        <xdr:cNvSpPr txBox="1"/>
      </xdr:nvSpPr>
      <xdr:spPr>
        <a:xfrm>
          <a:off x="5514979" y="1078523"/>
          <a:ext cx="830137" cy="504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3458048-03BC-4EB5-943A-925138096447}" type="TxLink">
            <a:rPr lang="en-US" sz="28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t>0.22</a:t>
          </a:fld>
          <a:endParaRPr lang="en-US" sz="3200" b="0" cap="none" spc="0">
            <a:ln w="0"/>
            <a:solidFill>
              <a:srgbClr val="00B050"/>
            </a:solidFill>
            <a:effectLst>
              <a:outerShdw blurRad="38100" dist="19050" dir="2700000" algn="tl" rotWithShape="0">
                <a:schemeClr val="dk1">
                  <a:alpha val="40000"/>
                </a:schemeClr>
              </a:outerShdw>
            </a:effectLst>
          </a:endParaRPr>
        </a:p>
      </xdr:txBody>
    </xdr:sp>
    <xdr:clientData/>
  </xdr:oneCellAnchor>
  <xdr:twoCellAnchor editAs="oneCell">
    <xdr:from>
      <xdr:col>6</xdr:col>
      <xdr:colOff>205154</xdr:colOff>
      <xdr:row>1</xdr:row>
      <xdr:rowOff>175846</xdr:rowOff>
    </xdr:from>
    <xdr:to>
      <xdr:col>7</xdr:col>
      <xdr:colOff>73271</xdr:colOff>
      <xdr:row>3</xdr:row>
      <xdr:rowOff>43963</xdr:rowOff>
    </xdr:to>
    <xdr:pic>
      <xdr:nvPicPr>
        <xdr:cNvPr id="26" name="Graphic 25" descr="Downward trend graph with solid fill">
          <a:extLst>
            <a:ext uri="{FF2B5EF4-FFF2-40B4-BE49-F238E27FC236}">
              <a16:creationId xmlns:a16="http://schemas.microsoft.com/office/drawing/2014/main" id="{5BEF6D1A-252A-9631-5029-39EE81C0F4F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06462" y="674077"/>
          <a:ext cx="483578" cy="483578"/>
        </a:xfrm>
        <a:prstGeom prst="rect">
          <a:avLst/>
        </a:prstGeom>
      </xdr:spPr>
    </xdr:pic>
    <xdr:clientData/>
  </xdr:twoCellAnchor>
  <xdr:twoCellAnchor editAs="oneCell">
    <xdr:from>
      <xdr:col>10</xdr:col>
      <xdr:colOff>175847</xdr:colOff>
      <xdr:row>1</xdr:row>
      <xdr:rowOff>190499</xdr:rowOff>
    </xdr:from>
    <xdr:to>
      <xdr:col>11</xdr:col>
      <xdr:colOff>14654</xdr:colOff>
      <xdr:row>3</xdr:row>
      <xdr:rowOff>29307</xdr:rowOff>
    </xdr:to>
    <xdr:pic>
      <xdr:nvPicPr>
        <xdr:cNvPr id="28" name="Graphic 27" descr="Warning with solid fill">
          <a:extLst>
            <a:ext uri="{FF2B5EF4-FFF2-40B4-BE49-F238E27FC236}">
              <a16:creationId xmlns:a16="http://schemas.microsoft.com/office/drawing/2014/main" id="{5516AA48-4D3F-B7BB-9F4A-248F577AF43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074270" y="688730"/>
          <a:ext cx="454269" cy="454269"/>
        </a:xfrm>
        <a:prstGeom prst="rect">
          <a:avLst/>
        </a:prstGeom>
      </xdr:spPr>
    </xdr:pic>
    <xdr:clientData/>
  </xdr:twoCellAnchor>
  <xdr:twoCellAnchor editAs="oneCell">
    <xdr:from>
      <xdr:col>15</xdr:col>
      <xdr:colOff>644771</xdr:colOff>
      <xdr:row>1</xdr:row>
      <xdr:rowOff>219808</xdr:rowOff>
    </xdr:from>
    <xdr:to>
      <xdr:col>15</xdr:col>
      <xdr:colOff>1113695</xdr:colOff>
      <xdr:row>3</xdr:row>
      <xdr:rowOff>73271</xdr:rowOff>
    </xdr:to>
    <xdr:pic>
      <xdr:nvPicPr>
        <xdr:cNvPr id="30" name="Graphic 29" descr="Coins with solid fill">
          <a:extLst>
            <a:ext uri="{FF2B5EF4-FFF2-40B4-BE49-F238E27FC236}">
              <a16:creationId xmlns:a16="http://schemas.microsoft.com/office/drawing/2014/main" id="{5B923953-7243-8D93-49FA-5E66258263E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620502" y="718039"/>
          <a:ext cx="468924" cy="468924"/>
        </a:xfrm>
        <a:prstGeom prst="rect">
          <a:avLst/>
        </a:prstGeom>
      </xdr:spPr>
    </xdr:pic>
    <xdr:clientData/>
  </xdr:twoCellAnchor>
  <xdr:twoCellAnchor editAs="oneCell">
    <xdr:from>
      <xdr:col>21</xdr:col>
      <xdr:colOff>14655</xdr:colOff>
      <xdr:row>1</xdr:row>
      <xdr:rowOff>161193</xdr:rowOff>
    </xdr:from>
    <xdr:to>
      <xdr:col>21</xdr:col>
      <xdr:colOff>498231</xdr:colOff>
      <xdr:row>3</xdr:row>
      <xdr:rowOff>29308</xdr:rowOff>
    </xdr:to>
    <xdr:pic>
      <xdr:nvPicPr>
        <xdr:cNvPr id="32" name="Graphic 31" descr="Star with solid fill">
          <a:extLst>
            <a:ext uri="{FF2B5EF4-FFF2-40B4-BE49-F238E27FC236}">
              <a16:creationId xmlns:a16="http://schemas.microsoft.com/office/drawing/2014/main" id="{030476AC-407D-51B2-2933-DA469E421B4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254655" y="659424"/>
          <a:ext cx="483576" cy="483576"/>
        </a:xfrm>
        <a:prstGeom prst="rect">
          <a:avLst/>
        </a:prstGeom>
      </xdr:spPr>
    </xdr:pic>
    <xdr:clientData/>
  </xdr:twoCellAnchor>
  <xdr:twoCellAnchor>
    <xdr:from>
      <xdr:col>12</xdr:col>
      <xdr:colOff>532667</xdr:colOff>
      <xdr:row>7</xdr:row>
      <xdr:rowOff>149100</xdr:rowOff>
    </xdr:from>
    <xdr:to>
      <xdr:col>18</xdr:col>
      <xdr:colOff>600808</xdr:colOff>
      <xdr:row>21</xdr:row>
      <xdr:rowOff>29307</xdr:rowOff>
    </xdr:to>
    <xdr:graphicFrame macro="">
      <xdr:nvGraphicFramePr>
        <xdr:cNvPr id="33" name="Chart 1">
          <a:extLst>
            <a:ext uri="{FF2B5EF4-FFF2-40B4-BE49-F238E27FC236}">
              <a16:creationId xmlns:a16="http://schemas.microsoft.com/office/drawing/2014/main" id="{6B983FEE-B3FA-9B78-2FE5-B3F637D17D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454269</xdr:colOff>
      <xdr:row>22</xdr:row>
      <xdr:rowOff>14653</xdr:rowOff>
    </xdr:from>
    <xdr:to>
      <xdr:col>5</xdr:col>
      <xdr:colOff>578828</xdr:colOff>
      <xdr:row>30</xdr:row>
      <xdr:rowOff>175846</xdr:rowOff>
    </xdr:to>
    <mc:AlternateContent xmlns:mc="http://schemas.openxmlformats.org/markup-compatibility/2006">
      <mc:Choice xmlns:a14="http://schemas.microsoft.com/office/drawing/2010/main" Requires="a14">
        <xdr:graphicFrame macro="">
          <xdr:nvGraphicFramePr>
            <xdr:cNvPr id="34" name="Indsutry">
              <a:extLst>
                <a:ext uri="{FF2B5EF4-FFF2-40B4-BE49-F238E27FC236}">
                  <a16:creationId xmlns:a16="http://schemas.microsoft.com/office/drawing/2014/main" id="{EC0FE20E-5E5F-4D0B-ABFB-CD8ACB125711}"/>
                </a:ext>
              </a:extLst>
            </xdr:cNvPr>
            <xdr:cNvGraphicFramePr/>
          </xdr:nvGraphicFramePr>
          <xdr:xfrm>
            <a:off x="0" y="0"/>
            <a:ext cx="0" cy="0"/>
          </xdr:xfrm>
          <a:graphic>
            <a:graphicData uri="http://schemas.microsoft.com/office/drawing/2010/slicer">
              <sle:slicer xmlns:sle="http://schemas.microsoft.com/office/drawing/2010/slicer" name="Indsutry"/>
            </a:graphicData>
          </a:graphic>
        </xdr:graphicFrame>
      </mc:Choice>
      <mc:Fallback>
        <xdr:sp macro="" textlink="">
          <xdr:nvSpPr>
            <xdr:cNvPr id="0" name=""/>
            <xdr:cNvSpPr>
              <a:spLocks noTextEdit="1"/>
            </xdr:cNvSpPr>
          </xdr:nvSpPr>
          <xdr:spPr>
            <a:xfrm>
              <a:off x="2593731" y="4747845"/>
              <a:ext cx="1970943" cy="1685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439616</xdr:colOff>
      <xdr:row>22</xdr:row>
      <xdr:rowOff>73269</xdr:rowOff>
    </xdr:from>
    <xdr:to>
      <xdr:col>2</xdr:col>
      <xdr:colOff>128954</xdr:colOff>
      <xdr:row>28</xdr:row>
      <xdr:rowOff>92319</xdr:rowOff>
    </xdr:to>
    <mc:AlternateContent xmlns:mc="http://schemas.openxmlformats.org/markup-compatibility/2006" xmlns:a14="http://schemas.microsoft.com/office/drawing/2010/main">
      <mc:Choice Requires="a14">
        <xdr:graphicFrame macro="">
          <xdr:nvGraphicFramePr>
            <xdr:cNvPr id="35" name="risk_category 1">
              <a:extLst>
                <a:ext uri="{FF2B5EF4-FFF2-40B4-BE49-F238E27FC236}">
                  <a16:creationId xmlns:a16="http://schemas.microsoft.com/office/drawing/2014/main" id="{A4ABE618-D74F-4C7F-A4A8-85123C65484B}"/>
                </a:ext>
              </a:extLst>
            </xdr:cNvPr>
            <xdr:cNvGraphicFramePr/>
          </xdr:nvGraphicFramePr>
          <xdr:xfrm>
            <a:off x="0" y="0"/>
            <a:ext cx="0" cy="0"/>
          </xdr:xfrm>
          <a:graphic>
            <a:graphicData uri="http://schemas.microsoft.com/office/drawing/2010/slicer">
              <sle:slicer xmlns:sle="http://schemas.microsoft.com/office/drawing/2010/slicer" name="risk_category 1"/>
            </a:graphicData>
          </a:graphic>
        </xdr:graphicFrame>
      </mc:Choice>
      <mc:Fallback xmlns="">
        <xdr:sp macro="" textlink="">
          <xdr:nvSpPr>
            <xdr:cNvPr id="0" name=""/>
            <xdr:cNvSpPr>
              <a:spLocks noTextEdit="1"/>
            </xdr:cNvSpPr>
          </xdr:nvSpPr>
          <xdr:spPr>
            <a:xfrm>
              <a:off x="439616" y="4806461"/>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439615</xdr:colOff>
      <xdr:row>22</xdr:row>
      <xdr:rowOff>58615</xdr:rowOff>
    </xdr:from>
    <xdr:to>
      <xdr:col>8</xdr:col>
      <xdr:colOff>202223</xdr:colOff>
      <xdr:row>28</xdr:row>
      <xdr:rowOff>58615</xdr:rowOff>
    </xdr:to>
    <mc:AlternateContent xmlns:mc="http://schemas.openxmlformats.org/markup-compatibility/2006" xmlns:a14="http://schemas.microsoft.com/office/drawing/2010/main">
      <mc:Choice Requires="a14">
        <xdr:graphicFrame macro="">
          <xdr:nvGraphicFramePr>
            <xdr:cNvPr id="36" name="plan_tier 1">
              <a:extLst>
                <a:ext uri="{FF2B5EF4-FFF2-40B4-BE49-F238E27FC236}">
                  <a16:creationId xmlns:a16="http://schemas.microsoft.com/office/drawing/2014/main" id="{CC939844-D6E5-4248-B568-6B34F9B29760}"/>
                </a:ext>
              </a:extLst>
            </xdr:cNvPr>
            <xdr:cNvGraphicFramePr/>
          </xdr:nvGraphicFramePr>
          <xdr:xfrm>
            <a:off x="0" y="0"/>
            <a:ext cx="0" cy="0"/>
          </xdr:xfrm>
          <a:graphic>
            <a:graphicData uri="http://schemas.microsoft.com/office/drawing/2010/slicer">
              <sle:slicer xmlns:sle="http://schemas.microsoft.com/office/drawing/2010/slicer" name="plan_tier 1"/>
            </a:graphicData>
          </a:graphic>
        </xdr:graphicFrame>
      </mc:Choice>
      <mc:Fallback xmlns="">
        <xdr:sp macro="" textlink="">
          <xdr:nvSpPr>
            <xdr:cNvPr id="0" name=""/>
            <xdr:cNvSpPr>
              <a:spLocks noTextEdit="1"/>
            </xdr:cNvSpPr>
          </xdr:nvSpPr>
          <xdr:spPr>
            <a:xfrm>
              <a:off x="5040923" y="4791807"/>
              <a:ext cx="18288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1.869316898148" createdVersion="8" refreshedVersion="8" minRefreshableVersion="3" recordCount="500" xr:uid="{735D22DD-41F9-4C82-B56A-98ECAEADC156}">
  <cacheSource type="worksheet">
    <worksheetSource name="tblCustomer"/>
  </cacheSource>
  <cacheFields count="13">
    <cacheField name="account_id" numFmtId="0">
      <sharedItems/>
    </cacheField>
    <cacheField name="account_name" numFmtId="0">
      <sharedItems/>
    </cacheField>
    <cacheField name="industry" numFmtId="0">
      <sharedItems count="5">
        <s v="EdTech"/>
        <s v="FinTech"/>
        <s v="DevTools"/>
        <s v="HealthTech"/>
        <s v="Cybersecurity"/>
      </sharedItems>
    </cacheField>
    <cacheField name="country" numFmtId="0">
      <sharedItems/>
    </cacheField>
    <cacheField name="plan_tier" numFmtId="0">
      <sharedItems count="3">
        <s v="Basic"/>
        <s v="Enterprise"/>
        <s v="Pro"/>
      </sharedItems>
    </cacheField>
    <cacheField name="seats" numFmtId="0">
      <sharedItems containsSemiMixedTypes="0" containsString="0" containsNumber="1" containsInteger="1" minValue="1" maxValue="163"/>
    </cacheField>
    <cacheField name="churn_flag" numFmtId="0">
      <sharedItems count="2">
        <b v="0"/>
        <b v="1"/>
      </sharedItems>
    </cacheField>
    <cacheField name="total_mrr" numFmtId="0">
      <sharedItems containsSemiMixedTypes="0" containsString="0" containsNumber="1" containsInteger="1" minValue="190" maxValue="138060"/>
    </cacheField>
    <cacheField name="total_arr" numFmtId="0">
      <sharedItems containsSemiMixedTypes="0" containsString="0" containsNumber="1" containsInteger="1" minValue="2280" maxValue="1656720"/>
    </cacheField>
    <cacheField name="ticket_count" numFmtId="0">
      <sharedItems containsSemiMixedTypes="0" containsString="0" containsNumber="1" containsInteger="1" minValue="0" maxValue="11"/>
    </cacheField>
    <cacheField name="avg_satisfaction" numFmtId="0">
      <sharedItems containsSemiMixedTypes="0" containsString="0" containsNumber="1" minValue="0" maxValue="5"/>
    </cacheField>
    <cacheField name="risk_score" numFmtId="0">
      <sharedItems containsSemiMixedTypes="0" containsString="0" containsNumber="1" containsInteger="1" minValue="0" maxValue="80"/>
    </cacheField>
    <cacheField name="risk_category" numFmtId="0">
      <sharedItems count="3">
        <s v="Medium Risk"/>
        <s v="Low Risk"/>
        <s v="High Risk"/>
      </sharedItems>
    </cacheField>
  </cacheFields>
  <extLst>
    <ext xmlns:x14="http://schemas.microsoft.com/office/spreadsheetml/2009/9/main" uri="{725AE2AE-9491-48be-B2B4-4EB974FC3084}">
      <x14:pivotCacheDefinition pivotCacheId="696562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A-2e4581"/>
    <s v="Company_0"/>
    <x v="0"/>
    <s v="US"/>
    <x v="0"/>
    <n v="9"/>
    <x v="0"/>
    <n v="12603"/>
    <n v="151236"/>
    <n v="2"/>
    <n v="1.5"/>
    <n v="45"/>
    <x v="0"/>
  </r>
  <r>
    <s v="A-43a9e3"/>
    <s v="Company_1"/>
    <x v="1"/>
    <s v="IN"/>
    <x v="0"/>
    <n v="18"/>
    <x v="1"/>
    <n v="10004"/>
    <n v="120048"/>
    <n v="3"/>
    <n v="4"/>
    <n v="0"/>
    <x v="1"/>
  </r>
  <r>
    <s v="A-0a282f"/>
    <s v="Company_2"/>
    <x v="2"/>
    <s v="US"/>
    <x v="0"/>
    <n v="1"/>
    <x v="0"/>
    <n v="18286"/>
    <n v="219432"/>
    <n v="3"/>
    <n v="4.67"/>
    <n v="30"/>
    <x v="1"/>
  </r>
  <r>
    <s v="A-1f0ac7"/>
    <s v="Company_3"/>
    <x v="3"/>
    <s v="UK"/>
    <x v="0"/>
    <n v="24"/>
    <x v="0"/>
    <n v="9275"/>
    <n v="111300"/>
    <n v="2"/>
    <n v="0"/>
    <n v="60"/>
    <x v="2"/>
  </r>
  <r>
    <s v="A-ce550d"/>
    <s v="Company_4"/>
    <x v="3"/>
    <s v="US"/>
    <x v="1"/>
    <n v="35"/>
    <x v="1"/>
    <n v="48761"/>
    <n v="585132"/>
    <n v="7"/>
    <n v="2.71"/>
    <n v="40"/>
    <x v="0"/>
  </r>
  <r>
    <s v="A-1b9609"/>
    <s v="Company_5"/>
    <x v="0"/>
    <s v="IN"/>
    <x v="1"/>
    <n v="4"/>
    <x v="0"/>
    <n v="16810"/>
    <n v="201720"/>
    <n v="4"/>
    <n v="0.75"/>
    <n v="60"/>
    <x v="2"/>
  </r>
  <r>
    <s v="A-a0ca4e"/>
    <s v="Company_6"/>
    <x v="4"/>
    <s v="US"/>
    <x v="2"/>
    <n v="11"/>
    <x v="0"/>
    <n v="16633"/>
    <n v="199596"/>
    <n v="6"/>
    <n v="3.17"/>
    <n v="10"/>
    <x v="1"/>
  </r>
  <r>
    <s v="A-e5d6ab"/>
    <s v="Company_7"/>
    <x v="0"/>
    <s v="US"/>
    <x v="2"/>
    <n v="3"/>
    <x v="0"/>
    <n v="13048"/>
    <n v="156576"/>
    <n v="3"/>
    <n v="0"/>
    <n v="60"/>
    <x v="2"/>
  </r>
  <r>
    <s v="A-7dacce"/>
    <s v="Company_8"/>
    <x v="4"/>
    <s v="CA"/>
    <x v="1"/>
    <n v="12"/>
    <x v="1"/>
    <n v="23057"/>
    <n v="276684"/>
    <n v="4"/>
    <n v="2.75"/>
    <n v="30"/>
    <x v="1"/>
  </r>
  <r>
    <s v="A-10b8da"/>
    <s v="Company_9"/>
    <x v="2"/>
    <s v="US"/>
    <x v="1"/>
    <n v="14"/>
    <x v="1"/>
    <n v="8787"/>
    <n v="105444"/>
    <n v="3"/>
    <n v="2.33"/>
    <n v="15"/>
    <x v="1"/>
  </r>
  <r>
    <s v="A-592832"/>
    <s v="Company_10"/>
    <x v="4"/>
    <s v="US"/>
    <x v="0"/>
    <n v="18"/>
    <x v="1"/>
    <n v="32571"/>
    <n v="390852"/>
    <n v="3"/>
    <n v="1.67"/>
    <n v="45"/>
    <x v="0"/>
  </r>
  <r>
    <s v="A-d40bf7"/>
    <s v="Company_11"/>
    <x v="1"/>
    <s v="IN"/>
    <x v="0"/>
    <n v="59"/>
    <x v="0"/>
    <n v="43247"/>
    <n v="518964"/>
    <n v="2"/>
    <n v="5"/>
    <n v="0"/>
    <x v="1"/>
  </r>
  <r>
    <s v="A-6c093d"/>
    <s v="Company_12"/>
    <x v="2"/>
    <s v="US"/>
    <x v="0"/>
    <n v="7"/>
    <x v="0"/>
    <n v="16242"/>
    <n v="194904"/>
    <n v="3"/>
    <n v="1.67"/>
    <n v="15"/>
    <x v="1"/>
  </r>
  <r>
    <s v="A-462d45"/>
    <s v="Company_13"/>
    <x v="4"/>
    <s v="US"/>
    <x v="1"/>
    <n v="11"/>
    <x v="0"/>
    <n v="23432"/>
    <n v="281184"/>
    <n v="4"/>
    <n v="1"/>
    <n v="60"/>
    <x v="2"/>
  </r>
  <r>
    <s v="A-956988"/>
    <s v="Company_14"/>
    <x v="0"/>
    <s v="UK"/>
    <x v="1"/>
    <n v="1"/>
    <x v="0"/>
    <n v="29407"/>
    <n v="352884"/>
    <n v="2"/>
    <n v="1.5"/>
    <n v="45"/>
    <x v="0"/>
  </r>
  <r>
    <s v="A-ac14bb"/>
    <s v="Company_15"/>
    <x v="1"/>
    <s v="US"/>
    <x v="1"/>
    <n v="21"/>
    <x v="0"/>
    <n v="27746"/>
    <n v="332952"/>
    <n v="2"/>
    <n v="2"/>
    <n v="45"/>
    <x v="0"/>
  </r>
  <r>
    <s v="A-463db0"/>
    <s v="Company_16"/>
    <x v="3"/>
    <s v="US"/>
    <x v="0"/>
    <n v="15"/>
    <x v="0"/>
    <n v="13266"/>
    <n v="159192"/>
    <n v="6"/>
    <n v="2.83"/>
    <n v="40"/>
    <x v="0"/>
  </r>
  <r>
    <s v="A-ce66f8"/>
    <s v="Company_17"/>
    <x v="0"/>
    <s v="CA"/>
    <x v="2"/>
    <n v="29"/>
    <x v="0"/>
    <n v="11858"/>
    <n v="142296"/>
    <n v="6"/>
    <n v="1.17"/>
    <n v="40"/>
    <x v="0"/>
  </r>
  <r>
    <s v="A-c4ea60"/>
    <s v="Company_18"/>
    <x v="1"/>
    <s v="DE"/>
    <x v="1"/>
    <n v="18"/>
    <x v="1"/>
    <n v="14646"/>
    <n v="175752"/>
    <n v="5"/>
    <n v="3.6"/>
    <n v="10"/>
    <x v="1"/>
  </r>
  <r>
    <s v="A-832ec2"/>
    <s v="Company_19"/>
    <x v="1"/>
    <s v="UK"/>
    <x v="1"/>
    <n v="4"/>
    <x v="0"/>
    <n v="9299"/>
    <n v="111588"/>
    <n v="3"/>
    <n v="2.67"/>
    <n v="30"/>
    <x v="1"/>
  </r>
  <r>
    <s v="A-684255"/>
    <s v="Company_20"/>
    <x v="1"/>
    <s v="US"/>
    <x v="1"/>
    <n v="9"/>
    <x v="0"/>
    <n v="11844"/>
    <n v="142128"/>
    <n v="4"/>
    <n v="3.5"/>
    <n v="30"/>
    <x v="1"/>
  </r>
  <r>
    <s v="A-c42f1f"/>
    <s v="Company_21"/>
    <x v="3"/>
    <s v="US"/>
    <x v="2"/>
    <n v="8"/>
    <x v="0"/>
    <n v="5175"/>
    <n v="62100"/>
    <n v="9"/>
    <n v="2.2200000000000002"/>
    <n v="35"/>
    <x v="0"/>
  </r>
  <r>
    <s v="A-4e44e8"/>
    <s v="Company_22"/>
    <x v="2"/>
    <s v="US"/>
    <x v="1"/>
    <n v="3"/>
    <x v="1"/>
    <n v="36445"/>
    <n v="437340"/>
    <n v="3"/>
    <n v="3.33"/>
    <n v="30"/>
    <x v="1"/>
  </r>
  <r>
    <s v="A-30b4ca"/>
    <s v="Company_23"/>
    <x v="0"/>
    <s v="IN"/>
    <x v="0"/>
    <n v="86"/>
    <x v="1"/>
    <n v="75938"/>
    <n v="911256"/>
    <n v="3"/>
    <n v="1.33"/>
    <n v="60"/>
    <x v="2"/>
  </r>
  <r>
    <s v="A-9f2731"/>
    <s v="Company_24"/>
    <x v="1"/>
    <s v="IN"/>
    <x v="1"/>
    <n v="1"/>
    <x v="0"/>
    <n v="3613"/>
    <n v="43356"/>
    <n v="0"/>
    <n v="0"/>
    <n v="30"/>
    <x v="1"/>
  </r>
  <r>
    <s v="A-32fb14"/>
    <s v="Company_25"/>
    <x v="2"/>
    <s v="US"/>
    <x v="1"/>
    <n v="26"/>
    <x v="1"/>
    <n v="10162"/>
    <n v="121944"/>
    <n v="5"/>
    <n v="1.8"/>
    <n v="55"/>
    <x v="0"/>
  </r>
  <r>
    <s v="A-00cac8"/>
    <s v="Company_26"/>
    <x v="3"/>
    <s v="AU"/>
    <x v="1"/>
    <n v="8"/>
    <x v="0"/>
    <n v="14121"/>
    <n v="169452"/>
    <n v="2"/>
    <n v="0"/>
    <n v="30"/>
    <x v="1"/>
  </r>
  <r>
    <s v="A-35083d"/>
    <s v="Company_27"/>
    <x v="3"/>
    <s v="IN"/>
    <x v="0"/>
    <n v="19"/>
    <x v="1"/>
    <n v="32433"/>
    <n v="389196"/>
    <n v="4"/>
    <n v="3.75"/>
    <n v="0"/>
    <x v="1"/>
  </r>
  <r>
    <s v="A-eb7fac"/>
    <s v="Company_28"/>
    <x v="2"/>
    <s v="US"/>
    <x v="1"/>
    <n v="7"/>
    <x v="0"/>
    <n v="42096"/>
    <n v="505152"/>
    <n v="4"/>
    <n v="1"/>
    <n v="60"/>
    <x v="2"/>
  </r>
  <r>
    <s v="A-b20d99"/>
    <s v="Company_29"/>
    <x v="3"/>
    <s v="IN"/>
    <x v="0"/>
    <n v="20"/>
    <x v="0"/>
    <n v="11069"/>
    <n v="132828"/>
    <n v="2"/>
    <n v="3.5"/>
    <n v="30"/>
    <x v="1"/>
  </r>
  <r>
    <s v="A-396e5f"/>
    <s v="Company_30"/>
    <x v="4"/>
    <s v="CA"/>
    <x v="1"/>
    <n v="2"/>
    <x v="0"/>
    <n v="10236"/>
    <n v="122832"/>
    <n v="5"/>
    <n v="0.8"/>
    <n v="70"/>
    <x v="2"/>
  </r>
  <r>
    <s v="A-45ce7a"/>
    <s v="Company_31"/>
    <x v="1"/>
    <s v="US"/>
    <x v="1"/>
    <n v="16"/>
    <x v="0"/>
    <n v="8216"/>
    <n v="98592"/>
    <n v="5"/>
    <n v="2.2000000000000002"/>
    <n v="25"/>
    <x v="1"/>
  </r>
  <r>
    <s v="A-08e34e"/>
    <s v="Company_32"/>
    <x v="0"/>
    <s v="US"/>
    <x v="0"/>
    <n v="14"/>
    <x v="1"/>
    <n v="21821"/>
    <n v="261852"/>
    <n v="3"/>
    <n v="2"/>
    <n v="45"/>
    <x v="0"/>
  </r>
  <r>
    <s v="A-8145a0"/>
    <s v="Company_33"/>
    <x v="4"/>
    <s v="AU"/>
    <x v="0"/>
    <n v="2"/>
    <x v="0"/>
    <n v="17260"/>
    <n v="207120"/>
    <n v="6"/>
    <n v="2"/>
    <n v="55"/>
    <x v="0"/>
  </r>
  <r>
    <s v="A-bad8c1"/>
    <s v="Company_34"/>
    <x v="1"/>
    <s v="AU"/>
    <x v="0"/>
    <n v="7"/>
    <x v="0"/>
    <n v="7797"/>
    <n v="93564"/>
    <n v="1"/>
    <n v="4"/>
    <n v="30"/>
    <x v="1"/>
  </r>
  <r>
    <s v="A-44dc83"/>
    <s v="Company_35"/>
    <x v="0"/>
    <s v="FR"/>
    <x v="0"/>
    <n v="5"/>
    <x v="0"/>
    <n v="456"/>
    <n v="5472"/>
    <n v="7"/>
    <n v="3.29"/>
    <n v="40"/>
    <x v="0"/>
  </r>
  <r>
    <s v="A-f446b6"/>
    <s v="Company_36"/>
    <x v="2"/>
    <s v="DE"/>
    <x v="2"/>
    <n v="5"/>
    <x v="0"/>
    <n v="11392"/>
    <n v="136704"/>
    <n v="8"/>
    <n v="2.12"/>
    <n v="35"/>
    <x v="0"/>
  </r>
  <r>
    <s v="A-a45270"/>
    <s v="Company_37"/>
    <x v="3"/>
    <s v="US"/>
    <x v="1"/>
    <n v="3"/>
    <x v="0"/>
    <n v="20131"/>
    <n v="241572"/>
    <n v="4"/>
    <n v="2"/>
    <n v="45"/>
    <x v="0"/>
  </r>
  <r>
    <s v="A-854864"/>
    <s v="Company_38"/>
    <x v="1"/>
    <s v="IN"/>
    <x v="1"/>
    <n v="20"/>
    <x v="0"/>
    <n v="14759"/>
    <n v="177108"/>
    <n v="5"/>
    <n v="4.8"/>
    <n v="40"/>
    <x v="0"/>
  </r>
  <r>
    <s v="A-1b7577"/>
    <s v="Company_39"/>
    <x v="4"/>
    <s v="US"/>
    <x v="2"/>
    <n v="4"/>
    <x v="0"/>
    <n v="8771"/>
    <n v="105252"/>
    <n v="5"/>
    <n v="3.2"/>
    <n v="10"/>
    <x v="1"/>
  </r>
  <r>
    <s v="A-05f0e5"/>
    <s v="Company_40"/>
    <x v="1"/>
    <s v="US"/>
    <x v="0"/>
    <n v="32"/>
    <x v="0"/>
    <n v="51109"/>
    <n v="613308"/>
    <n v="4"/>
    <n v="3"/>
    <n v="30"/>
    <x v="1"/>
  </r>
  <r>
    <s v="A-9077b0"/>
    <s v="Company_41"/>
    <x v="3"/>
    <s v="US"/>
    <x v="0"/>
    <n v="2"/>
    <x v="0"/>
    <n v="3565"/>
    <n v="42780"/>
    <n v="3"/>
    <n v="4.33"/>
    <n v="0"/>
    <x v="1"/>
  </r>
  <r>
    <s v="A-7f8241"/>
    <s v="Company_42"/>
    <x v="0"/>
    <s v="US"/>
    <x v="2"/>
    <n v="34"/>
    <x v="1"/>
    <n v="39516"/>
    <n v="474192"/>
    <n v="1"/>
    <n v="3"/>
    <n v="0"/>
    <x v="1"/>
  </r>
  <r>
    <s v="A-2bc93d"/>
    <s v="Company_43"/>
    <x v="3"/>
    <s v="US"/>
    <x v="0"/>
    <n v="14"/>
    <x v="0"/>
    <n v="32394"/>
    <n v="388728"/>
    <n v="2"/>
    <n v="4.5"/>
    <n v="30"/>
    <x v="1"/>
  </r>
  <r>
    <s v="A-f3ff05"/>
    <s v="Company_44"/>
    <x v="1"/>
    <s v="IN"/>
    <x v="1"/>
    <n v="2"/>
    <x v="0"/>
    <n v="19465"/>
    <n v="233580"/>
    <n v="3"/>
    <n v="2.33"/>
    <n v="45"/>
    <x v="0"/>
  </r>
  <r>
    <s v="A-2d4502"/>
    <s v="Company_45"/>
    <x v="1"/>
    <s v="IN"/>
    <x v="0"/>
    <n v="7"/>
    <x v="0"/>
    <n v="29071"/>
    <n v="348852"/>
    <n v="3"/>
    <n v="3.33"/>
    <n v="30"/>
    <x v="1"/>
  </r>
  <r>
    <s v="A-6a4e2d"/>
    <s v="Company_46"/>
    <x v="0"/>
    <s v="UK"/>
    <x v="2"/>
    <n v="9"/>
    <x v="0"/>
    <n v="10394"/>
    <n v="124728"/>
    <n v="2"/>
    <n v="4.5"/>
    <n v="30"/>
    <x v="1"/>
  </r>
  <r>
    <s v="A-eb7c38"/>
    <s v="Company_47"/>
    <x v="2"/>
    <s v="AU"/>
    <x v="1"/>
    <n v="5"/>
    <x v="0"/>
    <n v="38210"/>
    <n v="458520"/>
    <n v="5"/>
    <n v="2.6"/>
    <n v="40"/>
    <x v="0"/>
  </r>
  <r>
    <s v="A-c37601"/>
    <s v="Company_48"/>
    <x v="0"/>
    <s v="US"/>
    <x v="0"/>
    <n v="6"/>
    <x v="0"/>
    <n v="20475"/>
    <n v="245700"/>
    <n v="4"/>
    <n v="2.75"/>
    <n v="30"/>
    <x v="1"/>
  </r>
  <r>
    <s v="A-3b5cd1"/>
    <s v="Company_49"/>
    <x v="1"/>
    <s v="US"/>
    <x v="0"/>
    <n v="13"/>
    <x v="0"/>
    <n v="23676"/>
    <n v="284112"/>
    <n v="5"/>
    <n v="1.6"/>
    <n v="55"/>
    <x v="0"/>
  </r>
  <r>
    <s v="A-b2225d"/>
    <s v="Company_50"/>
    <x v="1"/>
    <s v="US"/>
    <x v="0"/>
    <n v="47"/>
    <x v="1"/>
    <n v="19088"/>
    <n v="229056"/>
    <n v="2"/>
    <n v="1.5"/>
    <n v="45"/>
    <x v="0"/>
  </r>
  <r>
    <s v="A-94f8c9"/>
    <s v="Company_51"/>
    <x v="3"/>
    <s v="US"/>
    <x v="0"/>
    <n v="13"/>
    <x v="0"/>
    <n v="31989"/>
    <n v="383868"/>
    <n v="3"/>
    <n v="3.33"/>
    <n v="30"/>
    <x v="1"/>
  </r>
  <r>
    <s v="A-02fac6"/>
    <s v="Company_52"/>
    <x v="1"/>
    <s v="US"/>
    <x v="2"/>
    <n v="22"/>
    <x v="0"/>
    <n v="26410"/>
    <n v="316920"/>
    <n v="6"/>
    <n v="1.33"/>
    <n v="70"/>
    <x v="2"/>
  </r>
  <r>
    <s v="A-c1dfe1"/>
    <s v="Company_53"/>
    <x v="2"/>
    <s v="DE"/>
    <x v="2"/>
    <n v="26"/>
    <x v="0"/>
    <n v="25790"/>
    <n v="309480"/>
    <n v="3"/>
    <n v="1.33"/>
    <n v="60"/>
    <x v="2"/>
  </r>
  <r>
    <s v="A-32728c"/>
    <s v="Company_54"/>
    <x v="2"/>
    <s v="US"/>
    <x v="2"/>
    <n v="20"/>
    <x v="1"/>
    <n v="4498"/>
    <n v="53976"/>
    <n v="2"/>
    <n v="3.5"/>
    <n v="30"/>
    <x v="1"/>
  </r>
  <r>
    <s v="A-4c38bc"/>
    <s v="Company_55"/>
    <x v="3"/>
    <s v="UK"/>
    <x v="0"/>
    <n v="36"/>
    <x v="1"/>
    <n v="48060"/>
    <n v="576720"/>
    <n v="3"/>
    <n v="2.33"/>
    <n v="15"/>
    <x v="1"/>
  </r>
  <r>
    <s v="A-1b707d"/>
    <s v="Company_56"/>
    <x v="4"/>
    <s v="US"/>
    <x v="1"/>
    <n v="1"/>
    <x v="0"/>
    <n v="9332"/>
    <n v="111984"/>
    <n v="3"/>
    <n v="0"/>
    <n v="60"/>
    <x v="2"/>
  </r>
  <r>
    <s v="A-6f8ad2"/>
    <s v="Company_57"/>
    <x v="0"/>
    <s v="IN"/>
    <x v="0"/>
    <n v="1"/>
    <x v="0"/>
    <n v="25928"/>
    <n v="311136"/>
    <n v="4"/>
    <n v="3.25"/>
    <n v="0"/>
    <x v="1"/>
  </r>
  <r>
    <s v="A-4d1e75"/>
    <s v="Company_58"/>
    <x v="2"/>
    <s v="US"/>
    <x v="0"/>
    <n v="20"/>
    <x v="0"/>
    <n v="31390"/>
    <n v="376680"/>
    <n v="2"/>
    <n v="4"/>
    <n v="30"/>
    <x v="1"/>
  </r>
  <r>
    <s v="A-9ee962"/>
    <s v="Company_59"/>
    <x v="3"/>
    <s v="US"/>
    <x v="0"/>
    <n v="9"/>
    <x v="1"/>
    <n v="9420"/>
    <n v="113040"/>
    <n v="3"/>
    <n v="1.33"/>
    <n v="60"/>
    <x v="2"/>
  </r>
  <r>
    <s v="A-378b99"/>
    <s v="Company_60"/>
    <x v="0"/>
    <s v="UK"/>
    <x v="2"/>
    <n v="8"/>
    <x v="0"/>
    <n v="12116"/>
    <n v="145392"/>
    <n v="6"/>
    <n v="3"/>
    <n v="40"/>
    <x v="0"/>
  </r>
  <r>
    <s v="A-94d3da"/>
    <s v="Company_61"/>
    <x v="3"/>
    <s v="US"/>
    <x v="0"/>
    <n v="41"/>
    <x v="0"/>
    <n v="22673"/>
    <n v="272076"/>
    <n v="6"/>
    <n v="2.33"/>
    <n v="55"/>
    <x v="0"/>
  </r>
  <r>
    <s v="A-e351e1"/>
    <s v="Company_62"/>
    <x v="0"/>
    <s v="US"/>
    <x v="1"/>
    <n v="33"/>
    <x v="0"/>
    <n v="3498"/>
    <n v="41976"/>
    <n v="4"/>
    <n v="3.75"/>
    <n v="30"/>
    <x v="1"/>
  </r>
  <r>
    <s v="A-9badbd"/>
    <s v="Company_63"/>
    <x v="4"/>
    <s v="DE"/>
    <x v="1"/>
    <n v="5"/>
    <x v="0"/>
    <n v="32477"/>
    <n v="389724"/>
    <n v="5"/>
    <n v="2"/>
    <n v="25"/>
    <x v="1"/>
  </r>
  <r>
    <s v="A-7e0a10"/>
    <s v="Company_64"/>
    <x v="1"/>
    <s v="US"/>
    <x v="1"/>
    <n v="46"/>
    <x v="0"/>
    <n v="41116"/>
    <n v="493392"/>
    <n v="5"/>
    <n v="1.6"/>
    <n v="55"/>
    <x v="0"/>
  </r>
  <r>
    <s v="A-118d55"/>
    <s v="Company_65"/>
    <x v="4"/>
    <s v="US"/>
    <x v="0"/>
    <n v="8"/>
    <x v="0"/>
    <n v="23919"/>
    <n v="287028"/>
    <n v="5"/>
    <n v="2.6"/>
    <n v="40"/>
    <x v="0"/>
  </r>
  <r>
    <s v="A-526d93"/>
    <s v="Company_66"/>
    <x v="3"/>
    <s v="FR"/>
    <x v="0"/>
    <n v="43"/>
    <x v="0"/>
    <n v="39201"/>
    <n v="470412"/>
    <n v="5"/>
    <n v="1.4"/>
    <n v="70"/>
    <x v="2"/>
  </r>
  <r>
    <s v="A-f92792"/>
    <s v="Company_67"/>
    <x v="1"/>
    <s v="US"/>
    <x v="2"/>
    <n v="1"/>
    <x v="0"/>
    <n v="18807"/>
    <n v="225684"/>
    <n v="2"/>
    <n v="2"/>
    <n v="45"/>
    <x v="0"/>
  </r>
  <r>
    <s v="A-84ebe4"/>
    <s v="Company_68"/>
    <x v="1"/>
    <s v="US"/>
    <x v="2"/>
    <n v="18"/>
    <x v="1"/>
    <n v="27994"/>
    <n v="335928"/>
    <n v="4"/>
    <n v="2"/>
    <n v="45"/>
    <x v="0"/>
  </r>
  <r>
    <s v="A-5b4ebb"/>
    <s v="Company_69"/>
    <x v="4"/>
    <s v="UK"/>
    <x v="0"/>
    <n v="21"/>
    <x v="1"/>
    <n v="27803"/>
    <n v="333636"/>
    <n v="5"/>
    <n v="3.8"/>
    <n v="10"/>
    <x v="1"/>
  </r>
  <r>
    <s v="A-2922b6"/>
    <s v="Company_70"/>
    <x v="3"/>
    <s v="US"/>
    <x v="0"/>
    <n v="15"/>
    <x v="0"/>
    <n v="10669"/>
    <n v="128028"/>
    <n v="2"/>
    <n v="2"/>
    <n v="45"/>
    <x v="0"/>
  </r>
  <r>
    <s v="A-9b9fe9"/>
    <s v="Company_71"/>
    <x v="0"/>
    <s v="AU"/>
    <x v="0"/>
    <n v="5"/>
    <x v="0"/>
    <n v="19725"/>
    <n v="236700"/>
    <n v="4"/>
    <n v="3"/>
    <n v="30"/>
    <x v="1"/>
  </r>
  <r>
    <s v="A-a8b49c"/>
    <s v="Company_72"/>
    <x v="4"/>
    <s v="UK"/>
    <x v="0"/>
    <n v="7"/>
    <x v="0"/>
    <n v="11567"/>
    <n v="138804"/>
    <n v="1"/>
    <n v="4"/>
    <n v="30"/>
    <x v="1"/>
  </r>
  <r>
    <s v="A-9174e0"/>
    <s v="Company_73"/>
    <x v="4"/>
    <s v="US"/>
    <x v="0"/>
    <n v="37"/>
    <x v="0"/>
    <n v="53976"/>
    <n v="647712"/>
    <n v="2"/>
    <n v="2.5"/>
    <n v="0"/>
    <x v="1"/>
  </r>
  <r>
    <s v="A-a1bbb6"/>
    <s v="Company_74"/>
    <x v="2"/>
    <s v="CA"/>
    <x v="0"/>
    <n v="1"/>
    <x v="0"/>
    <n v="14402"/>
    <n v="172824"/>
    <n v="3"/>
    <n v="1.33"/>
    <n v="30"/>
    <x v="1"/>
  </r>
  <r>
    <s v="A-c45b23"/>
    <s v="Company_75"/>
    <x v="1"/>
    <s v="UK"/>
    <x v="0"/>
    <n v="5"/>
    <x v="0"/>
    <n v="8504"/>
    <n v="102048"/>
    <n v="3"/>
    <n v="1"/>
    <n v="60"/>
    <x v="2"/>
  </r>
  <r>
    <s v="A-02cd81"/>
    <s v="Company_76"/>
    <x v="3"/>
    <s v="IN"/>
    <x v="0"/>
    <n v="44"/>
    <x v="0"/>
    <n v="32956"/>
    <n v="395472"/>
    <n v="3"/>
    <n v="3"/>
    <n v="30"/>
    <x v="1"/>
  </r>
  <r>
    <s v="A-ee42db"/>
    <s v="Company_77"/>
    <x v="0"/>
    <s v="DE"/>
    <x v="1"/>
    <n v="13"/>
    <x v="0"/>
    <n v="11567"/>
    <n v="138804"/>
    <n v="4"/>
    <n v="0.75"/>
    <n v="60"/>
    <x v="2"/>
  </r>
  <r>
    <s v="A-432483"/>
    <s v="Company_78"/>
    <x v="4"/>
    <s v="US"/>
    <x v="2"/>
    <n v="4"/>
    <x v="0"/>
    <n v="25813"/>
    <n v="309756"/>
    <n v="1"/>
    <n v="0"/>
    <n v="30"/>
    <x v="1"/>
  </r>
  <r>
    <s v="A-9208f0"/>
    <s v="Company_79"/>
    <x v="0"/>
    <s v="US"/>
    <x v="2"/>
    <n v="1"/>
    <x v="1"/>
    <n v="3511"/>
    <n v="42132"/>
    <n v="8"/>
    <n v="1.25"/>
    <n v="80"/>
    <x v="2"/>
  </r>
  <r>
    <s v="A-98a59a"/>
    <s v="Company_80"/>
    <x v="1"/>
    <s v="UK"/>
    <x v="1"/>
    <n v="56"/>
    <x v="0"/>
    <n v="36456"/>
    <n v="437472"/>
    <n v="3"/>
    <n v="3"/>
    <n v="30"/>
    <x v="1"/>
  </r>
  <r>
    <s v="A-fe79a5"/>
    <s v="Company_81"/>
    <x v="3"/>
    <s v="IN"/>
    <x v="0"/>
    <n v="9"/>
    <x v="0"/>
    <n v="13532"/>
    <n v="162384"/>
    <n v="4"/>
    <n v="2.5"/>
    <n v="0"/>
    <x v="1"/>
  </r>
  <r>
    <s v="A-726cfa"/>
    <s v="Company_82"/>
    <x v="2"/>
    <s v="US"/>
    <x v="2"/>
    <n v="11"/>
    <x v="0"/>
    <n v="34782"/>
    <n v="417384"/>
    <n v="3"/>
    <n v="2.67"/>
    <n v="30"/>
    <x v="1"/>
  </r>
  <r>
    <s v="A-c43359"/>
    <s v="Company_83"/>
    <x v="1"/>
    <s v="US"/>
    <x v="2"/>
    <n v="38"/>
    <x v="0"/>
    <n v="12312"/>
    <n v="147744"/>
    <n v="3"/>
    <n v="1.33"/>
    <n v="60"/>
    <x v="2"/>
  </r>
  <r>
    <s v="A-271f46"/>
    <s v="Company_84"/>
    <x v="2"/>
    <s v="US"/>
    <x v="2"/>
    <n v="38"/>
    <x v="1"/>
    <n v="19604"/>
    <n v="235248"/>
    <n v="1"/>
    <n v="0"/>
    <n v="60"/>
    <x v="2"/>
  </r>
  <r>
    <s v="A-157070"/>
    <s v="Company_85"/>
    <x v="1"/>
    <s v="US"/>
    <x v="2"/>
    <n v="16"/>
    <x v="0"/>
    <n v="27506"/>
    <n v="330072"/>
    <n v="3"/>
    <n v="1"/>
    <n v="60"/>
    <x v="2"/>
  </r>
  <r>
    <s v="A-40a557"/>
    <s v="Company_86"/>
    <x v="4"/>
    <s v="AU"/>
    <x v="2"/>
    <n v="16"/>
    <x v="0"/>
    <n v="23324"/>
    <n v="279888"/>
    <n v="7"/>
    <n v="1.57"/>
    <n v="55"/>
    <x v="0"/>
  </r>
  <r>
    <s v="A-66224b"/>
    <s v="Company_87"/>
    <x v="3"/>
    <s v="US"/>
    <x v="2"/>
    <n v="92"/>
    <x v="0"/>
    <n v="69184"/>
    <n v="830208"/>
    <n v="6"/>
    <n v="3.5"/>
    <n v="10"/>
    <x v="1"/>
  </r>
  <r>
    <s v="A-91e948"/>
    <s v="Company_88"/>
    <x v="0"/>
    <s v="AU"/>
    <x v="0"/>
    <n v="41"/>
    <x v="0"/>
    <n v="21894"/>
    <n v="262728"/>
    <n v="0"/>
    <n v="0"/>
    <n v="0"/>
    <x v="1"/>
  </r>
  <r>
    <s v="A-104f1a"/>
    <s v="Company_89"/>
    <x v="4"/>
    <s v="US"/>
    <x v="2"/>
    <n v="24"/>
    <x v="0"/>
    <n v="12617"/>
    <n v="151404"/>
    <n v="5"/>
    <n v="3"/>
    <n v="40"/>
    <x v="0"/>
  </r>
  <r>
    <s v="A-7988d1"/>
    <s v="Company_90"/>
    <x v="4"/>
    <s v="US"/>
    <x v="0"/>
    <n v="33"/>
    <x v="0"/>
    <n v="10692"/>
    <n v="128304"/>
    <n v="3"/>
    <n v="4.33"/>
    <n v="30"/>
    <x v="1"/>
  </r>
  <r>
    <s v="A-faa28c"/>
    <s v="Company_91"/>
    <x v="3"/>
    <s v="US"/>
    <x v="1"/>
    <n v="48"/>
    <x v="0"/>
    <n v="58404"/>
    <n v="700848"/>
    <n v="4"/>
    <n v="3.5"/>
    <n v="30"/>
    <x v="1"/>
  </r>
  <r>
    <s v="A-f25509"/>
    <s v="Company_92"/>
    <x v="0"/>
    <s v="US"/>
    <x v="1"/>
    <n v="32"/>
    <x v="0"/>
    <n v="16122"/>
    <n v="193464"/>
    <n v="6"/>
    <n v="2.33"/>
    <n v="55"/>
    <x v="0"/>
  </r>
  <r>
    <s v="A-3a7284"/>
    <s v="Company_93"/>
    <x v="1"/>
    <s v="US"/>
    <x v="1"/>
    <n v="31"/>
    <x v="0"/>
    <n v="35519"/>
    <n v="426228"/>
    <n v="3"/>
    <n v="2.33"/>
    <n v="45"/>
    <x v="0"/>
  </r>
  <r>
    <s v="A-3a5ad8"/>
    <s v="Company_94"/>
    <x v="3"/>
    <s v="US"/>
    <x v="1"/>
    <n v="9"/>
    <x v="0"/>
    <n v="28701"/>
    <n v="344412"/>
    <n v="4"/>
    <n v="2.25"/>
    <n v="15"/>
    <x v="1"/>
  </r>
  <r>
    <s v="A-65a46c"/>
    <s v="Company_95"/>
    <x v="3"/>
    <s v="US"/>
    <x v="2"/>
    <n v="1"/>
    <x v="0"/>
    <n v="22675"/>
    <n v="272100"/>
    <n v="8"/>
    <n v="2.5"/>
    <n v="20"/>
    <x v="1"/>
  </r>
  <r>
    <s v="A-8b25f2"/>
    <s v="Company_96"/>
    <x v="4"/>
    <s v="US"/>
    <x v="2"/>
    <n v="6"/>
    <x v="1"/>
    <n v="14048"/>
    <n v="168576"/>
    <n v="2"/>
    <n v="4"/>
    <n v="0"/>
    <x v="1"/>
  </r>
  <r>
    <s v="A-fabe19"/>
    <s v="Company_97"/>
    <x v="2"/>
    <s v="UK"/>
    <x v="1"/>
    <n v="1"/>
    <x v="0"/>
    <n v="20497"/>
    <n v="245964"/>
    <n v="3"/>
    <n v="1.33"/>
    <n v="30"/>
    <x v="1"/>
  </r>
  <r>
    <s v="A-adc1f3"/>
    <s v="Company_98"/>
    <x v="4"/>
    <s v="US"/>
    <x v="2"/>
    <n v="2"/>
    <x v="0"/>
    <n v="26608"/>
    <n v="319296"/>
    <n v="3"/>
    <n v="2.33"/>
    <n v="15"/>
    <x v="1"/>
  </r>
  <r>
    <s v="A-503d5a"/>
    <s v="Company_99"/>
    <x v="1"/>
    <s v="US"/>
    <x v="1"/>
    <n v="4"/>
    <x v="1"/>
    <n v="17884"/>
    <n v="214608"/>
    <n v="9"/>
    <n v="1.33"/>
    <n v="50"/>
    <x v="0"/>
  </r>
  <r>
    <s v="A-fd7ad3"/>
    <s v="Company_100"/>
    <x v="4"/>
    <s v="US"/>
    <x v="1"/>
    <n v="1"/>
    <x v="0"/>
    <n v="3831"/>
    <n v="45972"/>
    <n v="8"/>
    <n v="3.12"/>
    <n v="50"/>
    <x v="0"/>
  </r>
  <r>
    <s v="A-186a44"/>
    <s v="Company_101"/>
    <x v="3"/>
    <s v="US"/>
    <x v="1"/>
    <n v="20"/>
    <x v="0"/>
    <n v="20989"/>
    <n v="251868"/>
    <n v="7"/>
    <n v="2"/>
    <n v="25"/>
    <x v="1"/>
  </r>
  <r>
    <s v="A-e888d1"/>
    <s v="Company_102"/>
    <x v="4"/>
    <s v="US"/>
    <x v="2"/>
    <n v="14"/>
    <x v="0"/>
    <n v="13646"/>
    <n v="163752"/>
    <n v="5"/>
    <n v="2.4"/>
    <n v="55"/>
    <x v="0"/>
  </r>
  <r>
    <s v="A-69fad4"/>
    <s v="Company_103"/>
    <x v="1"/>
    <s v="UK"/>
    <x v="0"/>
    <n v="6"/>
    <x v="1"/>
    <n v="8721"/>
    <n v="104652"/>
    <n v="4"/>
    <n v="2.75"/>
    <n v="30"/>
    <x v="1"/>
  </r>
  <r>
    <s v="A-9289f6"/>
    <s v="Company_104"/>
    <x v="0"/>
    <s v="US"/>
    <x v="1"/>
    <n v="1"/>
    <x v="0"/>
    <n v="13096"/>
    <n v="157152"/>
    <n v="6"/>
    <n v="2.17"/>
    <n v="55"/>
    <x v="0"/>
  </r>
  <r>
    <s v="A-f19409"/>
    <s v="Company_105"/>
    <x v="2"/>
    <s v="US"/>
    <x v="0"/>
    <n v="23"/>
    <x v="1"/>
    <n v="34136"/>
    <n v="409632"/>
    <n v="3"/>
    <n v="1.33"/>
    <n v="60"/>
    <x v="2"/>
  </r>
  <r>
    <s v="A-22f2df"/>
    <s v="Company_106"/>
    <x v="2"/>
    <s v="US"/>
    <x v="0"/>
    <n v="3"/>
    <x v="0"/>
    <n v="7451"/>
    <n v="89412"/>
    <n v="5"/>
    <n v="1"/>
    <n v="40"/>
    <x v="0"/>
  </r>
  <r>
    <s v="A-039727"/>
    <s v="Company_107"/>
    <x v="0"/>
    <s v="AU"/>
    <x v="2"/>
    <n v="25"/>
    <x v="0"/>
    <n v="36420"/>
    <n v="437040"/>
    <n v="0"/>
    <n v="0"/>
    <n v="30"/>
    <x v="1"/>
  </r>
  <r>
    <s v="A-2e3bad"/>
    <s v="Company_108"/>
    <x v="1"/>
    <s v="CA"/>
    <x v="2"/>
    <n v="61"/>
    <x v="0"/>
    <n v="45872"/>
    <n v="550464"/>
    <n v="5"/>
    <n v="1.4"/>
    <n v="70"/>
    <x v="2"/>
  </r>
  <r>
    <s v="A-484819"/>
    <s v="Company_109"/>
    <x v="3"/>
    <s v="US"/>
    <x v="2"/>
    <n v="18"/>
    <x v="0"/>
    <n v="20604"/>
    <n v="247248"/>
    <n v="5"/>
    <n v="1.8"/>
    <n v="55"/>
    <x v="0"/>
  </r>
  <r>
    <s v="A-425e76"/>
    <s v="Company_110"/>
    <x v="2"/>
    <s v="UK"/>
    <x v="1"/>
    <n v="8"/>
    <x v="1"/>
    <n v="17111"/>
    <n v="205332"/>
    <n v="5"/>
    <n v="2"/>
    <n v="55"/>
    <x v="0"/>
  </r>
  <r>
    <s v="A-e83938"/>
    <s v="Company_111"/>
    <x v="2"/>
    <s v="UK"/>
    <x v="2"/>
    <n v="2"/>
    <x v="1"/>
    <n v="7503"/>
    <n v="90036"/>
    <n v="4"/>
    <n v="0.75"/>
    <n v="60"/>
    <x v="2"/>
  </r>
  <r>
    <s v="A-ad296b"/>
    <s v="Company_112"/>
    <x v="2"/>
    <s v="AU"/>
    <x v="2"/>
    <n v="38"/>
    <x v="0"/>
    <n v="18430"/>
    <n v="221160"/>
    <n v="3"/>
    <n v="3.67"/>
    <n v="0"/>
    <x v="1"/>
  </r>
  <r>
    <s v="A-e51ec7"/>
    <s v="Company_113"/>
    <x v="1"/>
    <s v="CA"/>
    <x v="1"/>
    <n v="2"/>
    <x v="0"/>
    <n v="24076"/>
    <n v="288912"/>
    <n v="3"/>
    <n v="1.67"/>
    <n v="45"/>
    <x v="0"/>
  </r>
  <r>
    <s v="A-0aaf6e"/>
    <s v="Company_114"/>
    <x v="1"/>
    <s v="US"/>
    <x v="1"/>
    <n v="3"/>
    <x v="0"/>
    <n v="24084"/>
    <n v="289008"/>
    <n v="5"/>
    <n v="1.6"/>
    <n v="25"/>
    <x v="1"/>
  </r>
  <r>
    <s v="A-e61e98"/>
    <s v="Company_115"/>
    <x v="1"/>
    <s v="US"/>
    <x v="1"/>
    <n v="19"/>
    <x v="1"/>
    <n v="13484"/>
    <n v="161808"/>
    <n v="6"/>
    <n v="3.83"/>
    <n v="40"/>
    <x v="0"/>
  </r>
  <r>
    <s v="A-92a333"/>
    <s v="Company_116"/>
    <x v="1"/>
    <s v="US"/>
    <x v="1"/>
    <n v="9"/>
    <x v="0"/>
    <n v="10659"/>
    <n v="127908"/>
    <n v="4"/>
    <n v="0"/>
    <n v="30"/>
    <x v="1"/>
  </r>
  <r>
    <s v="A-95b24a"/>
    <s v="Company_117"/>
    <x v="1"/>
    <s v="US"/>
    <x v="2"/>
    <n v="38"/>
    <x v="1"/>
    <n v="25034"/>
    <n v="300408"/>
    <n v="5"/>
    <n v="3.4"/>
    <n v="10"/>
    <x v="1"/>
  </r>
  <r>
    <s v="A-42e5e1"/>
    <s v="Company_118"/>
    <x v="2"/>
    <s v="US"/>
    <x v="2"/>
    <n v="1"/>
    <x v="1"/>
    <n v="8916"/>
    <n v="106992"/>
    <n v="3"/>
    <n v="4"/>
    <n v="30"/>
    <x v="1"/>
  </r>
  <r>
    <s v="A-7d514c"/>
    <s v="Company_119"/>
    <x v="3"/>
    <s v="DE"/>
    <x v="1"/>
    <n v="17"/>
    <x v="0"/>
    <n v="24274"/>
    <n v="291288"/>
    <n v="3"/>
    <n v="1.67"/>
    <n v="15"/>
    <x v="1"/>
  </r>
  <r>
    <s v="A-65aeb5"/>
    <s v="Company_120"/>
    <x v="2"/>
    <s v="US"/>
    <x v="2"/>
    <n v="9"/>
    <x v="0"/>
    <n v="34392"/>
    <n v="412704"/>
    <n v="2"/>
    <n v="2.5"/>
    <n v="30"/>
    <x v="1"/>
  </r>
  <r>
    <s v="A-e2cd1b"/>
    <s v="Company_121"/>
    <x v="2"/>
    <s v="US"/>
    <x v="1"/>
    <n v="15"/>
    <x v="0"/>
    <n v="12548"/>
    <n v="150576"/>
    <n v="5"/>
    <n v="3.2"/>
    <n v="10"/>
    <x v="1"/>
  </r>
  <r>
    <s v="A-180abf"/>
    <s v="Company_122"/>
    <x v="2"/>
    <s v="US"/>
    <x v="2"/>
    <n v="64"/>
    <x v="1"/>
    <n v="37312"/>
    <n v="447744"/>
    <n v="3"/>
    <n v="1"/>
    <n v="60"/>
    <x v="2"/>
  </r>
  <r>
    <s v="A-f17767"/>
    <s v="Company_123"/>
    <x v="2"/>
    <s v="US"/>
    <x v="1"/>
    <n v="1"/>
    <x v="1"/>
    <n v="16139"/>
    <n v="193668"/>
    <n v="3"/>
    <n v="2.67"/>
    <n v="30"/>
    <x v="1"/>
  </r>
  <r>
    <s v="A-5a184f"/>
    <s v="Company_124"/>
    <x v="2"/>
    <s v="DE"/>
    <x v="1"/>
    <n v="1"/>
    <x v="1"/>
    <n v="20683"/>
    <n v="248196"/>
    <n v="3"/>
    <n v="4.33"/>
    <n v="30"/>
    <x v="1"/>
  </r>
  <r>
    <s v="A-7df7a7"/>
    <s v="Company_125"/>
    <x v="2"/>
    <s v="US"/>
    <x v="0"/>
    <n v="7"/>
    <x v="1"/>
    <n v="29155"/>
    <n v="349860"/>
    <n v="3"/>
    <n v="4"/>
    <n v="30"/>
    <x v="1"/>
  </r>
  <r>
    <s v="A-1ac5e0"/>
    <s v="Company_126"/>
    <x v="2"/>
    <s v="US"/>
    <x v="0"/>
    <n v="33"/>
    <x v="1"/>
    <n v="18249"/>
    <n v="218988"/>
    <n v="7"/>
    <n v="2.71"/>
    <n v="10"/>
    <x v="1"/>
  </r>
  <r>
    <s v="A-52dd88"/>
    <s v="Company_127"/>
    <x v="4"/>
    <s v="US"/>
    <x v="2"/>
    <n v="23"/>
    <x v="0"/>
    <n v="16592"/>
    <n v="199104"/>
    <n v="1"/>
    <n v="0"/>
    <n v="30"/>
    <x v="1"/>
  </r>
  <r>
    <s v="A-bece89"/>
    <s v="Company_128"/>
    <x v="4"/>
    <s v="IN"/>
    <x v="2"/>
    <n v="26"/>
    <x v="0"/>
    <n v="19250"/>
    <n v="231000"/>
    <n v="4"/>
    <n v="3"/>
    <n v="30"/>
    <x v="1"/>
  </r>
  <r>
    <s v="A-029f69"/>
    <s v="Company_129"/>
    <x v="4"/>
    <s v="CA"/>
    <x v="0"/>
    <n v="3"/>
    <x v="0"/>
    <n v="14638"/>
    <n v="175656"/>
    <n v="2"/>
    <n v="1.5"/>
    <n v="45"/>
    <x v="0"/>
  </r>
  <r>
    <s v="A-5c046d"/>
    <s v="Company_130"/>
    <x v="0"/>
    <s v="FR"/>
    <x v="0"/>
    <n v="93"/>
    <x v="0"/>
    <n v="83886"/>
    <n v="1006632"/>
    <n v="1"/>
    <n v="3"/>
    <n v="0"/>
    <x v="1"/>
  </r>
  <r>
    <s v="A-fb186e"/>
    <s v="Company_131"/>
    <x v="0"/>
    <s v="IN"/>
    <x v="0"/>
    <n v="29"/>
    <x v="0"/>
    <n v="5771"/>
    <n v="69252"/>
    <n v="6"/>
    <n v="1.83"/>
    <n v="25"/>
    <x v="1"/>
  </r>
  <r>
    <s v="A-ae052e"/>
    <s v="Company_132"/>
    <x v="1"/>
    <s v="CA"/>
    <x v="0"/>
    <n v="39"/>
    <x v="0"/>
    <n v="7693"/>
    <n v="92316"/>
    <n v="4"/>
    <n v="2"/>
    <n v="45"/>
    <x v="0"/>
  </r>
  <r>
    <s v="A-9f9299"/>
    <s v="Company_133"/>
    <x v="1"/>
    <s v="US"/>
    <x v="1"/>
    <n v="28"/>
    <x v="0"/>
    <n v="42403"/>
    <n v="508836"/>
    <n v="5"/>
    <n v="1"/>
    <n v="70"/>
    <x v="2"/>
  </r>
  <r>
    <s v="A-96e141"/>
    <s v="Company_134"/>
    <x v="2"/>
    <s v="UK"/>
    <x v="0"/>
    <n v="14"/>
    <x v="0"/>
    <n v="15468"/>
    <n v="185616"/>
    <n v="5"/>
    <n v="2.6"/>
    <n v="40"/>
    <x v="0"/>
  </r>
  <r>
    <s v="A-117171"/>
    <s v="Company_135"/>
    <x v="3"/>
    <s v="FR"/>
    <x v="0"/>
    <n v="45"/>
    <x v="1"/>
    <n v="12015"/>
    <n v="144180"/>
    <n v="6"/>
    <n v="1.83"/>
    <n v="55"/>
    <x v="0"/>
  </r>
  <r>
    <s v="A-313be3"/>
    <s v="Company_136"/>
    <x v="0"/>
    <s v="US"/>
    <x v="1"/>
    <n v="47"/>
    <x v="0"/>
    <n v="19006"/>
    <n v="228072"/>
    <n v="4"/>
    <n v="1.25"/>
    <n v="60"/>
    <x v="2"/>
  </r>
  <r>
    <s v="A-671f31"/>
    <s v="Company_137"/>
    <x v="2"/>
    <s v="US"/>
    <x v="0"/>
    <n v="59"/>
    <x v="0"/>
    <n v="30385"/>
    <n v="364620"/>
    <n v="7"/>
    <n v="3"/>
    <n v="10"/>
    <x v="1"/>
  </r>
  <r>
    <s v="A-bbc346"/>
    <s v="Company_138"/>
    <x v="1"/>
    <s v="US"/>
    <x v="1"/>
    <n v="19"/>
    <x v="0"/>
    <n v="33122"/>
    <n v="397464"/>
    <n v="3"/>
    <n v="3"/>
    <n v="30"/>
    <x v="1"/>
  </r>
  <r>
    <s v="A-c16101"/>
    <s v="Company_139"/>
    <x v="0"/>
    <s v="IN"/>
    <x v="0"/>
    <n v="7"/>
    <x v="0"/>
    <n v="12422"/>
    <n v="149064"/>
    <n v="4"/>
    <n v="1.25"/>
    <n v="60"/>
    <x v="2"/>
  </r>
  <r>
    <s v="A-50f3f7"/>
    <s v="Company_140"/>
    <x v="3"/>
    <s v="US"/>
    <x v="0"/>
    <n v="31"/>
    <x v="1"/>
    <n v="44077"/>
    <n v="528924"/>
    <n v="6"/>
    <n v="2.5"/>
    <n v="10"/>
    <x v="1"/>
  </r>
  <r>
    <s v="A-7da956"/>
    <s v="Company_141"/>
    <x v="4"/>
    <s v="US"/>
    <x v="2"/>
    <n v="13"/>
    <x v="0"/>
    <n v="10963"/>
    <n v="131556"/>
    <n v="3"/>
    <n v="1.67"/>
    <n v="15"/>
    <x v="1"/>
  </r>
  <r>
    <s v="A-019782"/>
    <s v="Company_142"/>
    <x v="2"/>
    <s v="FR"/>
    <x v="1"/>
    <n v="11"/>
    <x v="0"/>
    <n v="8353"/>
    <n v="100236"/>
    <n v="2"/>
    <n v="1.5"/>
    <n v="15"/>
    <x v="1"/>
  </r>
  <r>
    <s v="A-df10db"/>
    <s v="Company_143"/>
    <x v="2"/>
    <s v="US"/>
    <x v="1"/>
    <n v="2"/>
    <x v="0"/>
    <n v="11730"/>
    <n v="140760"/>
    <n v="2"/>
    <n v="3"/>
    <n v="30"/>
    <x v="1"/>
  </r>
  <r>
    <s v="A-3932db"/>
    <s v="Company_144"/>
    <x v="3"/>
    <s v="CA"/>
    <x v="2"/>
    <n v="19"/>
    <x v="1"/>
    <n v="14087"/>
    <n v="169044"/>
    <n v="6"/>
    <n v="2.17"/>
    <n v="25"/>
    <x v="1"/>
  </r>
  <r>
    <s v="A-4f18f0"/>
    <s v="Company_145"/>
    <x v="2"/>
    <s v="CA"/>
    <x v="2"/>
    <n v="24"/>
    <x v="0"/>
    <n v="30264"/>
    <n v="363168"/>
    <n v="5"/>
    <n v="3.2"/>
    <n v="40"/>
    <x v="0"/>
  </r>
  <r>
    <s v="A-4c6f11"/>
    <s v="Company_146"/>
    <x v="1"/>
    <s v="CA"/>
    <x v="2"/>
    <n v="24"/>
    <x v="1"/>
    <n v="7586"/>
    <n v="91032"/>
    <n v="3"/>
    <n v="4.33"/>
    <n v="30"/>
    <x v="1"/>
  </r>
  <r>
    <s v="A-8ae05d"/>
    <s v="Company_147"/>
    <x v="1"/>
    <s v="IN"/>
    <x v="1"/>
    <n v="86"/>
    <x v="0"/>
    <n v="26230"/>
    <n v="314760"/>
    <n v="1"/>
    <n v="4"/>
    <n v="30"/>
    <x v="1"/>
  </r>
  <r>
    <s v="A-b78bf8"/>
    <s v="Company_148"/>
    <x v="2"/>
    <s v="US"/>
    <x v="2"/>
    <n v="33"/>
    <x v="0"/>
    <n v="22423"/>
    <n v="269076"/>
    <n v="5"/>
    <n v="4.2"/>
    <n v="40"/>
    <x v="0"/>
  </r>
  <r>
    <s v="A-eafc6e"/>
    <s v="Company_149"/>
    <x v="2"/>
    <s v="US"/>
    <x v="2"/>
    <n v="27"/>
    <x v="1"/>
    <n v="16229"/>
    <n v="194748"/>
    <n v="1"/>
    <n v="0"/>
    <n v="60"/>
    <x v="2"/>
  </r>
  <r>
    <s v="A-37f969"/>
    <s v="Company_150"/>
    <x v="3"/>
    <s v="IN"/>
    <x v="1"/>
    <n v="30"/>
    <x v="0"/>
    <n v="22959"/>
    <n v="275508"/>
    <n v="5"/>
    <n v="2.2000000000000002"/>
    <n v="55"/>
    <x v="0"/>
  </r>
  <r>
    <s v="A-10b8f2"/>
    <s v="Company_151"/>
    <x v="3"/>
    <s v="DE"/>
    <x v="0"/>
    <n v="47"/>
    <x v="0"/>
    <n v="30719"/>
    <n v="368628"/>
    <n v="3"/>
    <n v="4.33"/>
    <n v="30"/>
    <x v="1"/>
  </r>
  <r>
    <s v="A-439b2f"/>
    <s v="Company_152"/>
    <x v="2"/>
    <s v="US"/>
    <x v="1"/>
    <n v="1"/>
    <x v="1"/>
    <n v="1796"/>
    <n v="21552"/>
    <n v="3"/>
    <n v="0"/>
    <n v="60"/>
    <x v="2"/>
  </r>
  <r>
    <s v="A-544d0a"/>
    <s v="Company_153"/>
    <x v="2"/>
    <s v="US"/>
    <x v="0"/>
    <n v="2"/>
    <x v="0"/>
    <n v="18492"/>
    <n v="221904"/>
    <n v="2"/>
    <n v="4"/>
    <n v="0"/>
    <x v="1"/>
  </r>
  <r>
    <s v="A-ba6516"/>
    <s v="Company_154"/>
    <x v="1"/>
    <s v="US"/>
    <x v="2"/>
    <n v="27"/>
    <x v="0"/>
    <n v="28379"/>
    <n v="340548"/>
    <n v="6"/>
    <n v="2.67"/>
    <n v="40"/>
    <x v="0"/>
  </r>
  <r>
    <s v="A-712426"/>
    <s v="Company_155"/>
    <x v="3"/>
    <s v="US"/>
    <x v="1"/>
    <n v="9"/>
    <x v="0"/>
    <n v="11197"/>
    <n v="134364"/>
    <n v="6"/>
    <n v="3.67"/>
    <n v="40"/>
    <x v="0"/>
  </r>
  <r>
    <s v="A-038089"/>
    <s v="Company_156"/>
    <x v="2"/>
    <s v="FR"/>
    <x v="2"/>
    <n v="5"/>
    <x v="1"/>
    <n v="2104"/>
    <n v="25248"/>
    <n v="6"/>
    <n v="1.83"/>
    <n v="55"/>
    <x v="0"/>
  </r>
  <r>
    <s v="A-afa505"/>
    <s v="Company_157"/>
    <x v="2"/>
    <s v="US"/>
    <x v="0"/>
    <n v="70"/>
    <x v="0"/>
    <n v="66010"/>
    <n v="792120"/>
    <n v="4"/>
    <n v="1.5"/>
    <n v="45"/>
    <x v="0"/>
  </r>
  <r>
    <s v="A-d5a319"/>
    <s v="Company_158"/>
    <x v="1"/>
    <s v="US"/>
    <x v="1"/>
    <n v="15"/>
    <x v="1"/>
    <n v="37847"/>
    <n v="454164"/>
    <n v="1"/>
    <n v="4"/>
    <n v="0"/>
    <x v="1"/>
  </r>
  <r>
    <s v="A-f97b9a"/>
    <s v="Company_159"/>
    <x v="1"/>
    <s v="US"/>
    <x v="2"/>
    <n v="16"/>
    <x v="0"/>
    <n v="23833"/>
    <n v="285996"/>
    <n v="7"/>
    <n v="1.57"/>
    <n v="25"/>
    <x v="1"/>
  </r>
  <r>
    <s v="A-2f6a32"/>
    <s v="Company_160"/>
    <x v="3"/>
    <s v="US"/>
    <x v="0"/>
    <n v="19"/>
    <x v="0"/>
    <n v="7513"/>
    <n v="90156"/>
    <n v="2"/>
    <n v="3.5"/>
    <n v="0"/>
    <x v="1"/>
  </r>
  <r>
    <s v="A-856b1e"/>
    <s v="Company_161"/>
    <x v="1"/>
    <s v="US"/>
    <x v="0"/>
    <n v="19"/>
    <x v="0"/>
    <n v="6321"/>
    <n v="75852"/>
    <n v="5"/>
    <n v="0"/>
    <n v="40"/>
    <x v="0"/>
  </r>
  <r>
    <s v="A-17939a"/>
    <s v="Company_162"/>
    <x v="3"/>
    <s v="US"/>
    <x v="0"/>
    <n v="1"/>
    <x v="0"/>
    <n v="9669"/>
    <n v="116028"/>
    <n v="7"/>
    <n v="2.57"/>
    <n v="10"/>
    <x v="1"/>
  </r>
  <r>
    <s v="A-d27f50"/>
    <s v="Company_163"/>
    <x v="4"/>
    <s v="UK"/>
    <x v="1"/>
    <n v="44"/>
    <x v="0"/>
    <n v="44815"/>
    <n v="537780"/>
    <n v="4"/>
    <n v="3.75"/>
    <n v="0"/>
    <x v="1"/>
  </r>
  <r>
    <s v="A-e36807"/>
    <s v="Company_164"/>
    <x v="0"/>
    <s v="AU"/>
    <x v="2"/>
    <n v="6"/>
    <x v="0"/>
    <n v="12569"/>
    <n v="150828"/>
    <n v="2"/>
    <n v="4.5"/>
    <n v="0"/>
    <x v="1"/>
  </r>
  <r>
    <s v="A-ff79f2"/>
    <s v="Company_165"/>
    <x v="2"/>
    <s v="US"/>
    <x v="0"/>
    <n v="8"/>
    <x v="1"/>
    <n v="27873"/>
    <n v="334476"/>
    <n v="2"/>
    <n v="0"/>
    <n v="30"/>
    <x v="1"/>
  </r>
  <r>
    <s v="A-5b1bcd"/>
    <s v="Company_166"/>
    <x v="2"/>
    <s v="US"/>
    <x v="2"/>
    <n v="73"/>
    <x v="0"/>
    <n v="133298"/>
    <n v="1599576"/>
    <n v="4"/>
    <n v="2.25"/>
    <n v="45"/>
    <x v="0"/>
  </r>
  <r>
    <s v="A-71615e"/>
    <s v="Company_167"/>
    <x v="0"/>
    <s v="US"/>
    <x v="0"/>
    <n v="15"/>
    <x v="0"/>
    <n v="40713"/>
    <n v="488556"/>
    <n v="1"/>
    <n v="0"/>
    <n v="60"/>
    <x v="2"/>
  </r>
  <r>
    <s v="A-794a0b"/>
    <s v="Company_168"/>
    <x v="3"/>
    <s v="DE"/>
    <x v="0"/>
    <n v="23"/>
    <x v="0"/>
    <n v="10575"/>
    <n v="126900"/>
    <n v="0"/>
    <n v="0"/>
    <n v="30"/>
    <x v="1"/>
  </r>
  <r>
    <s v="A-86902e"/>
    <s v="Company_169"/>
    <x v="3"/>
    <s v="IN"/>
    <x v="1"/>
    <n v="34"/>
    <x v="0"/>
    <n v="36041"/>
    <n v="432492"/>
    <n v="9"/>
    <n v="1.56"/>
    <n v="65"/>
    <x v="2"/>
  </r>
  <r>
    <s v="A-0532a9"/>
    <s v="Company_170"/>
    <x v="1"/>
    <s v="IN"/>
    <x v="2"/>
    <n v="19"/>
    <x v="0"/>
    <n v="15161"/>
    <n v="181932"/>
    <n v="8"/>
    <n v="0.38"/>
    <n v="80"/>
    <x v="2"/>
  </r>
  <r>
    <s v="A-9779ad"/>
    <s v="Company_171"/>
    <x v="4"/>
    <s v="AU"/>
    <x v="2"/>
    <n v="40"/>
    <x v="1"/>
    <n v="51680"/>
    <n v="620160"/>
    <n v="3"/>
    <n v="1.67"/>
    <n v="45"/>
    <x v="0"/>
  </r>
  <r>
    <s v="A-f45426"/>
    <s v="Company_172"/>
    <x v="3"/>
    <s v="US"/>
    <x v="0"/>
    <n v="9"/>
    <x v="0"/>
    <n v="17289"/>
    <n v="207468"/>
    <n v="3"/>
    <n v="1.33"/>
    <n v="60"/>
    <x v="2"/>
  </r>
  <r>
    <s v="A-c1e51e"/>
    <s v="Company_173"/>
    <x v="1"/>
    <s v="US"/>
    <x v="0"/>
    <n v="3"/>
    <x v="0"/>
    <n v="23905"/>
    <n v="286860"/>
    <n v="5"/>
    <n v="3.2"/>
    <n v="40"/>
    <x v="0"/>
  </r>
  <r>
    <s v="A-fa3095"/>
    <s v="Company_174"/>
    <x v="1"/>
    <s v="US"/>
    <x v="0"/>
    <n v="70"/>
    <x v="0"/>
    <n v="69230"/>
    <n v="830760"/>
    <n v="5"/>
    <n v="2"/>
    <n v="55"/>
    <x v="0"/>
  </r>
  <r>
    <s v="A-ad64c6"/>
    <s v="Company_175"/>
    <x v="2"/>
    <s v="UK"/>
    <x v="2"/>
    <n v="12"/>
    <x v="0"/>
    <n v="14708"/>
    <n v="176496"/>
    <n v="4"/>
    <n v="1.25"/>
    <n v="60"/>
    <x v="2"/>
  </r>
  <r>
    <s v="A-39b19f"/>
    <s v="Company_176"/>
    <x v="1"/>
    <s v="US"/>
    <x v="1"/>
    <n v="1"/>
    <x v="0"/>
    <n v="21237"/>
    <n v="254844"/>
    <n v="6"/>
    <n v="2.83"/>
    <n v="40"/>
    <x v="0"/>
  </r>
  <r>
    <s v="A-56962b"/>
    <s v="Company_177"/>
    <x v="0"/>
    <s v="UK"/>
    <x v="1"/>
    <n v="163"/>
    <x v="0"/>
    <n v="54605"/>
    <n v="655260"/>
    <n v="4"/>
    <n v="0.75"/>
    <n v="60"/>
    <x v="2"/>
  </r>
  <r>
    <s v="A-e60f9d"/>
    <s v="Company_178"/>
    <x v="1"/>
    <s v="US"/>
    <x v="0"/>
    <n v="29"/>
    <x v="0"/>
    <n v="50817"/>
    <n v="609804"/>
    <n v="2"/>
    <n v="0"/>
    <n v="30"/>
    <x v="1"/>
  </r>
  <r>
    <s v="A-88c6ca"/>
    <s v="Company_179"/>
    <x v="1"/>
    <s v="DE"/>
    <x v="0"/>
    <n v="5"/>
    <x v="1"/>
    <n v="6449"/>
    <n v="77388"/>
    <n v="1"/>
    <n v="0"/>
    <n v="30"/>
    <x v="1"/>
  </r>
  <r>
    <s v="A-158f4e"/>
    <s v="Company_180"/>
    <x v="1"/>
    <s v="IN"/>
    <x v="1"/>
    <n v="61"/>
    <x v="0"/>
    <n v="43859"/>
    <n v="526308"/>
    <n v="5"/>
    <n v="2.6"/>
    <n v="40"/>
    <x v="0"/>
  </r>
  <r>
    <s v="A-5b051a"/>
    <s v="Company_181"/>
    <x v="4"/>
    <s v="US"/>
    <x v="1"/>
    <n v="22"/>
    <x v="0"/>
    <n v="2332"/>
    <n v="27984"/>
    <n v="1"/>
    <n v="3"/>
    <n v="0"/>
    <x v="1"/>
  </r>
  <r>
    <s v="A-296d7c"/>
    <s v="Company_182"/>
    <x v="2"/>
    <s v="DE"/>
    <x v="1"/>
    <n v="2"/>
    <x v="0"/>
    <n v="1989"/>
    <n v="23868"/>
    <n v="5"/>
    <n v="3"/>
    <n v="40"/>
    <x v="0"/>
  </r>
  <r>
    <s v="A-1619f8"/>
    <s v="Company_183"/>
    <x v="2"/>
    <s v="US"/>
    <x v="2"/>
    <n v="29"/>
    <x v="0"/>
    <n v="19790"/>
    <n v="237480"/>
    <n v="3"/>
    <n v="1.67"/>
    <n v="45"/>
    <x v="0"/>
  </r>
  <r>
    <s v="A-a1b80b"/>
    <s v="Company_184"/>
    <x v="3"/>
    <s v="US"/>
    <x v="0"/>
    <n v="16"/>
    <x v="0"/>
    <n v="34589"/>
    <n v="415068"/>
    <n v="4"/>
    <n v="3"/>
    <n v="30"/>
    <x v="1"/>
  </r>
  <r>
    <s v="A-139c3b"/>
    <s v="Company_185"/>
    <x v="3"/>
    <s v="US"/>
    <x v="1"/>
    <n v="10"/>
    <x v="1"/>
    <n v="9027"/>
    <n v="108324"/>
    <n v="9"/>
    <n v="2"/>
    <n v="35"/>
    <x v="0"/>
  </r>
  <r>
    <s v="A-702032"/>
    <s v="Company_186"/>
    <x v="3"/>
    <s v="US"/>
    <x v="2"/>
    <n v="28"/>
    <x v="0"/>
    <n v="8540"/>
    <n v="102480"/>
    <n v="4"/>
    <n v="1.5"/>
    <n v="45"/>
    <x v="0"/>
  </r>
  <r>
    <s v="A-7a0d69"/>
    <s v="Company_187"/>
    <x v="2"/>
    <s v="DE"/>
    <x v="1"/>
    <n v="4"/>
    <x v="1"/>
    <n v="10362"/>
    <n v="124344"/>
    <n v="2"/>
    <n v="2.5"/>
    <n v="30"/>
    <x v="1"/>
  </r>
  <r>
    <s v="A-22d9d2"/>
    <s v="Company_188"/>
    <x v="2"/>
    <s v="FR"/>
    <x v="2"/>
    <n v="8"/>
    <x v="0"/>
    <n v="18746"/>
    <n v="224952"/>
    <n v="6"/>
    <n v="2.67"/>
    <n v="40"/>
    <x v="0"/>
  </r>
  <r>
    <s v="A-b9eed8"/>
    <s v="Company_189"/>
    <x v="4"/>
    <s v="US"/>
    <x v="0"/>
    <n v="11"/>
    <x v="0"/>
    <n v="16577"/>
    <n v="198924"/>
    <n v="5"/>
    <n v="3"/>
    <n v="40"/>
    <x v="0"/>
  </r>
  <r>
    <s v="A-dfbd31"/>
    <s v="Company_190"/>
    <x v="2"/>
    <s v="UK"/>
    <x v="1"/>
    <n v="14"/>
    <x v="0"/>
    <n v="25079"/>
    <n v="300948"/>
    <n v="6"/>
    <n v="2.83"/>
    <n v="40"/>
    <x v="0"/>
  </r>
  <r>
    <s v="A-8e47ca"/>
    <s v="Company_191"/>
    <x v="3"/>
    <s v="US"/>
    <x v="2"/>
    <n v="19"/>
    <x v="0"/>
    <n v="28120"/>
    <n v="337440"/>
    <n v="5"/>
    <n v="1.6"/>
    <n v="55"/>
    <x v="0"/>
  </r>
  <r>
    <s v="A-4437e4"/>
    <s v="Company_192"/>
    <x v="4"/>
    <s v="US"/>
    <x v="1"/>
    <n v="3"/>
    <x v="0"/>
    <n v="17831"/>
    <n v="213972"/>
    <n v="6"/>
    <n v="1"/>
    <n v="70"/>
    <x v="2"/>
  </r>
  <r>
    <s v="A-779e4e"/>
    <s v="Company_193"/>
    <x v="3"/>
    <s v="US"/>
    <x v="0"/>
    <n v="5"/>
    <x v="0"/>
    <n v="28081"/>
    <n v="336972"/>
    <n v="5"/>
    <n v="3.2"/>
    <n v="10"/>
    <x v="1"/>
  </r>
  <r>
    <s v="A-53f4e3"/>
    <s v="Company_194"/>
    <x v="4"/>
    <s v="UK"/>
    <x v="1"/>
    <n v="13"/>
    <x v="0"/>
    <n v="15072"/>
    <n v="180864"/>
    <n v="5"/>
    <n v="2.4"/>
    <n v="55"/>
    <x v="0"/>
  </r>
  <r>
    <s v="A-692f18"/>
    <s v="Company_195"/>
    <x v="0"/>
    <s v="US"/>
    <x v="0"/>
    <n v="5"/>
    <x v="1"/>
    <n v="30550"/>
    <n v="366600"/>
    <n v="2"/>
    <n v="2.5"/>
    <n v="30"/>
    <x v="1"/>
  </r>
  <r>
    <s v="A-13466a"/>
    <s v="Company_196"/>
    <x v="2"/>
    <s v="AU"/>
    <x v="0"/>
    <n v="2"/>
    <x v="1"/>
    <n v="13343"/>
    <n v="160116"/>
    <n v="3"/>
    <n v="4.33"/>
    <n v="30"/>
    <x v="1"/>
  </r>
  <r>
    <s v="A-1986ca"/>
    <s v="Company_197"/>
    <x v="3"/>
    <s v="IN"/>
    <x v="2"/>
    <n v="20"/>
    <x v="0"/>
    <n v="27661"/>
    <n v="331932"/>
    <n v="7"/>
    <n v="2.4300000000000002"/>
    <n v="25"/>
    <x v="1"/>
  </r>
  <r>
    <s v="A-0cc442"/>
    <s v="Company_198"/>
    <x v="0"/>
    <s v="US"/>
    <x v="0"/>
    <n v="45"/>
    <x v="0"/>
    <n v="61935"/>
    <n v="743220"/>
    <n v="3"/>
    <n v="1"/>
    <n v="60"/>
    <x v="2"/>
  </r>
  <r>
    <s v="A-c608c8"/>
    <s v="Company_199"/>
    <x v="2"/>
    <s v="DE"/>
    <x v="2"/>
    <n v="3"/>
    <x v="1"/>
    <n v="9514"/>
    <n v="114168"/>
    <n v="2"/>
    <n v="1.5"/>
    <n v="45"/>
    <x v="0"/>
  </r>
  <r>
    <s v="A-3be56b"/>
    <s v="Company_200"/>
    <x v="3"/>
    <s v="IN"/>
    <x v="2"/>
    <n v="3"/>
    <x v="1"/>
    <n v="17040"/>
    <n v="204480"/>
    <n v="4"/>
    <n v="3.5"/>
    <n v="30"/>
    <x v="1"/>
  </r>
  <r>
    <s v="A-354f12"/>
    <s v="Company_201"/>
    <x v="1"/>
    <s v="US"/>
    <x v="2"/>
    <n v="1"/>
    <x v="0"/>
    <n v="8889"/>
    <n v="106668"/>
    <n v="2"/>
    <n v="0"/>
    <n v="60"/>
    <x v="2"/>
  </r>
  <r>
    <s v="A-68f37c"/>
    <s v="Company_202"/>
    <x v="3"/>
    <s v="US"/>
    <x v="0"/>
    <n v="4"/>
    <x v="0"/>
    <n v="32270"/>
    <n v="387240"/>
    <n v="5"/>
    <n v="0.8"/>
    <n v="70"/>
    <x v="2"/>
  </r>
  <r>
    <s v="A-aa9511"/>
    <s v="Company_203"/>
    <x v="2"/>
    <s v="US"/>
    <x v="2"/>
    <n v="23"/>
    <x v="0"/>
    <n v="60970"/>
    <n v="731640"/>
    <n v="2"/>
    <n v="2"/>
    <n v="45"/>
    <x v="0"/>
  </r>
  <r>
    <s v="A-af0cd2"/>
    <s v="Company_204"/>
    <x v="4"/>
    <s v="IN"/>
    <x v="1"/>
    <n v="19"/>
    <x v="0"/>
    <n v="6460"/>
    <n v="77520"/>
    <n v="3"/>
    <n v="0"/>
    <n v="60"/>
    <x v="2"/>
  </r>
  <r>
    <s v="A-bd4513"/>
    <s v="Company_205"/>
    <x v="2"/>
    <s v="AU"/>
    <x v="1"/>
    <n v="50"/>
    <x v="0"/>
    <n v="52204"/>
    <n v="626448"/>
    <n v="3"/>
    <n v="4.67"/>
    <n v="30"/>
    <x v="1"/>
  </r>
  <r>
    <s v="A-c222ab"/>
    <s v="Company_206"/>
    <x v="4"/>
    <s v="US"/>
    <x v="2"/>
    <n v="32"/>
    <x v="1"/>
    <n v="18656"/>
    <n v="223872"/>
    <n v="4"/>
    <n v="1.25"/>
    <n v="60"/>
    <x v="2"/>
  </r>
  <r>
    <s v="A-34d880"/>
    <s v="Company_207"/>
    <x v="4"/>
    <s v="AU"/>
    <x v="1"/>
    <n v="4"/>
    <x v="0"/>
    <n v="20964"/>
    <n v="251568"/>
    <n v="5"/>
    <n v="3"/>
    <n v="40"/>
    <x v="0"/>
  </r>
  <r>
    <s v="A-508199"/>
    <s v="Company_208"/>
    <x v="1"/>
    <s v="AU"/>
    <x v="0"/>
    <n v="19"/>
    <x v="0"/>
    <n v="8436"/>
    <n v="101232"/>
    <n v="3"/>
    <n v="1"/>
    <n v="30"/>
    <x v="1"/>
  </r>
  <r>
    <s v="A-f03140"/>
    <s v="Company_209"/>
    <x v="2"/>
    <s v="IN"/>
    <x v="2"/>
    <n v="27"/>
    <x v="0"/>
    <n v="21075"/>
    <n v="252900"/>
    <n v="7"/>
    <n v="1.57"/>
    <n v="55"/>
    <x v="0"/>
  </r>
  <r>
    <s v="A-410e86"/>
    <s v="Company_210"/>
    <x v="1"/>
    <s v="US"/>
    <x v="0"/>
    <n v="24"/>
    <x v="0"/>
    <n v="15960"/>
    <n v="191520"/>
    <n v="5"/>
    <n v="1.4"/>
    <n v="40"/>
    <x v="0"/>
  </r>
  <r>
    <s v="A-fa2041"/>
    <s v="Company_211"/>
    <x v="3"/>
    <s v="US"/>
    <x v="2"/>
    <n v="15"/>
    <x v="0"/>
    <n v="20915"/>
    <n v="250980"/>
    <n v="1"/>
    <n v="3"/>
    <n v="30"/>
    <x v="1"/>
  </r>
  <r>
    <s v="A-de58ca"/>
    <s v="Company_212"/>
    <x v="3"/>
    <s v="DE"/>
    <x v="1"/>
    <n v="15"/>
    <x v="0"/>
    <n v="23905"/>
    <n v="286860"/>
    <n v="5"/>
    <n v="2"/>
    <n v="25"/>
    <x v="1"/>
  </r>
  <r>
    <s v="A-05d3b3"/>
    <s v="Company_213"/>
    <x v="2"/>
    <s v="AU"/>
    <x v="0"/>
    <n v="9"/>
    <x v="0"/>
    <n v="12610"/>
    <n v="151320"/>
    <n v="6"/>
    <n v="2.17"/>
    <n v="55"/>
    <x v="0"/>
  </r>
  <r>
    <s v="A-249769"/>
    <s v="Company_214"/>
    <x v="4"/>
    <s v="US"/>
    <x v="1"/>
    <n v="4"/>
    <x v="1"/>
    <n v="15717"/>
    <n v="188604"/>
    <n v="2"/>
    <n v="4"/>
    <n v="30"/>
    <x v="1"/>
  </r>
  <r>
    <s v="A-e43bf7"/>
    <s v="Company_215"/>
    <x v="4"/>
    <s v="AU"/>
    <x v="2"/>
    <n v="44"/>
    <x v="0"/>
    <n v="46666"/>
    <n v="559992"/>
    <n v="5"/>
    <n v="2.4"/>
    <n v="55"/>
    <x v="0"/>
  </r>
  <r>
    <s v="A-eb2fdc"/>
    <s v="Company_216"/>
    <x v="2"/>
    <s v="AU"/>
    <x v="1"/>
    <n v="31"/>
    <x v="1"/>
    <n v="31968"/>
    <n v="383616"/>
    <n v="5"/>
    <n v="3.6"/>
    <n v="40"/>
    <x v="0"/>
  </r>
  <r>
    <s v="A-e1462e"/>
    <s v="Company_217"/>
    <x v="1"/>
    <s v="UK"/>
    <x v="0"/>
    <n v="15"/>
    <x v="0"/>
    <n v="12030"/>
    <n v="144360"/>
    <n v="2"/>
    <n v="3.5"/>
    <n v="30"/>
    <x v="1"/>
  </r>
  <r>
    <s v="A-cab532"/>
    <s v="Company_218"/>
    <x v="2"/>
    <s v="FR"/>
    <x v="2"/>
    <n v="11"/>
    <x v="0"/>
    <n v="20088"/>
    <n v="241056"/>
    <n v="1"/>
    <n v="4"/>
    <n v="30"/>
    <x v="1"/>
  </r>
  <r>
    <s v="A-9123ac"/>
    <s v="Company_219"/>
    <x v="4"/>
    <s v="DE"/>
    <x v="2"/>
    <n v="9"/>
    <x v="0"/>
    <n v="14751"/>
    <n v="177012"/>
    <n v="6"/>
    <n v="3.5"/>
    <n v="40"/>
    <x v="0"/>
  </r>
  <r>
    <s v="A-6e08f3"/>
    <s v="Company_220"/>
    <x v="4"/>
    <s v="US"/>
    <x v="0"/>
    <n v="8"/>
    <x v="0"/>
    <n v="18190"/>
    <n v="218280"/>
    <n v="2"/>
    <n v="3.5"/>
    <n v="30"/>
    <x v="1"/>
  </r>
  <r>
    <s v="A-d922bf"/>
    <s v="Company_221"/>
    <x v="3"/>
    <s v="US"/>
    <x v="0"/>
    <n v="5"/>
    <x v="1"/>
    <n v="17114"/>
    <n v="205368"/>
    <n v="7"/>
    <n v="1.43"/>
    <n v="70"/>
    <x v="2"/>
  </r>
  <r>
    <s v="A-8ed5dd"/>
    <s v="Company_222"/>
    <x v="0"/>
    <s v="UK"/>
    <x v="1"/>
    <n v="5"/>
    <x v="1"/>
    <n v="11956"/>
    <n v="143472"/>
    <n v="6"/>
    <n v="2.5"/>
    <n v="40"/>
    <x v="0"/>
  </r>
  <r>
    <s v="A-7c6b6b"/>
    <s v="Company_223"/>
    <x v="1"/>
    <s v="US"/>
    <x v="0"/>
    <n v="6"/>
    <x v="0"/>
    <n v="4818"/>
    <n v="57816"/>
    <n v="5"/>
    <n v="2.6"/>
    <n v="40"/>
    <x v="0"/>
  </r>
  <r>
    <s v="A-3c1a3f"/>
    <s v="Company_224"/>
    <x v="2"/>
    <s v="UK"/>
    <x v="2"/>
    <n v="1"/>
    <x v="0"/>
    <n v="14909"/>
    <n v="178908"/>
    <n v="4"/>
    <n v="1.75"/>
    <n v="15"/>
    <x v="1"/>
  </r>
  <r>
    <s v="A-b48f73"/>
    <s v="Company_225"/>
    <x v="0"/>
    <s v="AU"/>
    <x v="2"/>
    <n v="80"/>
    <x v="0"/>
    <n v="28320"/>
    <n v="339840"/>
    <n v="3"/>
    <n v="2.67"/>
    <n v="0"/>
    <x v="1"/>
  </r>
  <r>
    <s v="A-76fa4d"/>
    <s v="Company_226"/>
    <x v="3"/>
    <s v="US"/>
    <x v="2"/>
    <n v="69"/>
    <x v="0"/>
    <n v="61686"/>
    <n v="740232"/>
    <n v="5"/>
    <n v="3.6"/>
    <n v="40"/>
    <x v="0"/>
  </r>
  <r>
    <s v="A-b2af2e"/>
    <s v="Company_227"/>
    <x v="4"/>
    <s v="UK"/>
    <x v="1"/>
    <n v="5"/>
    <x v="0"/>
    <n v="3112"/>
    <n v="37344"/>
    <n v="2"/>
    <n v="4"/>
    <n v="30"/>
    <x v="1"/>
  </r>
  <r>
    <s v="A-9bfc9f"/>
    <s v="Company_228"/>
    <x v="2"/>
    <s v="CA"/>
    <x v="2"/>
    <n v="53"/>
    <x v="0"/>
    <n v="15342"/>
    <n v="184104"/>
    <n v="6"/>
    <n v="1.67"/>
    <n v="25"/>
    <x v="1"/>
  </r>
  <r>
    <s v="A-4ae22a"/>
    <s v="Company_229"/>
    <x v="0"/>
    <s v="US"/>
    <x v="2"/>
    <n v="6"/>
    <x v="1"/>
    <n v="9432"/>
    <n v="113184"/>
    <n v="3"/>
    <n v="1"/>
    <n v="60"/>
    <x v="2"/>
  </r>
  <r>
    <s v="A-fda07f"/>
    <s v="Company_230"/>
    <x v="4"/>
    <s v="FR"/>
    <x v="0"/>
    <n v="7"/>
    <x v="0"/>
    <n v="28418"/>
    <n v="341016"/>
    <n v="5"/>
    <n v="2.4"/>
    <n v="55"/>
    <x v="0"/>
  </r>
  <r>
    <s v="A-de24d5"/>
    <s v="Company_231"/>
    <x v="2"/>
    <s v="US"/>
    <x v="1"/>
    <n v="5"/>
    <x v="0"/>
    <n v="21327"/>
    <n v="255924"/>
    <n v="7"/>
    <n v="0.86"/>
    <n v="40"/>
    <x v="0"/>
  </r>
  <r>
    <s v="A-977ca0"/>
    <s v="Company_232"/>
    <x v="3"/>
    <s v="IN"/>
    <x v="0"/>
    <n v="6"/>
    <x v="1"/>
    <n v="30055"/>
    <n v="360660"/>
    <n v="3"/>
    <n v="1.33"/>
    <n v="30"/>
    <x v="1"/>
  </r>
  <r>
    <s v="A-ab438f"/>
    <s v="Company_233"/>
    <x v="4"/>
    <s v="US"/>
    <x v="1"/>
    <n v="13"/>
    <x v="1"/>
    <n v="16358"/>
    <n v="196296"/>
    <n v="2"/>
    <n v="3.5"/>
    <n v="30"/>
    <x v="1"/>
  </r>
  <r>
    <s v="A-e89151"/>
    <s v="Company_234"/>
    <x v="1"/>
    <s v="UK"/>
    <x v="2"/>
    <n v="8"/>
    <x v="1"/>
    <n v="21734"/>
    <n v="260808"/>
    <n v="2"/>
    <n v="2.5"/>
    <n v="0"/>
    <x v="1"/>
  </r>
  <r>
    <s v="A-40906c"/>
    <s v="Company_235"/>
    <x v="0"/>
    <s v="US"/>
    <x v="0"/>
    <n v="92"/>
    <x v="0"/>
    <n v="64400"/>
    <n v="772800"/>
    <n v="5"/>
    <n v="3"/>
    <n v="10"/>
    <x v="1"/>
  </r>
  <r>
    <s v="A-81edc3"/>
    <s v="Company_236"/>
    <x v="4"/>
    <s v="IN"/>
    <x v="0"/>
    <n v="5"/>
    <x v="0"/>
    <n v="17524"/>
    <n v="210288"/>
    <n v="3"/>
    <n v="2.67"/>
    <n v="30"/>
    <x v="1"/>
  </r>
  <r>
    <s v="A-328bd0"/>
    <s v="Company_237"/>
    <x v="3"/>
    <s v="AU"/>
    <x v="1"/>
    <n v="18"/>
    <x v="0"/>
    <n v="15979"/>
    <n v="191748"/>
    <n v="5"/>
    <n v="2.2000000000000002"/>
    <n v="25"/>
    <x v="1"/>
  </r>
  <r>
    <s v="A-b3fe05"/>
    <s v="Company_238"/>
    <x v="4"/>
    <s v="CA"/>
    <x v="2"/>
    <n v="8"/>
    <x v="0"/>
    <n v="24494"/>
    <n v="293928"/>
    <n v="4"/>
    <n v="1.5"/>
    <n v="15"/>
    <x v="1"/>
  </r>
  <r>
    <s v="A-09540c"/>
    <s v="Company_239"/>
    <x v="4"/>
    <s v="CA"/>
    <x v="0"/>
    <n v="67"/>
    <x v="0"/>
    <n v="23718"/>
    <n v="284616"/>
    <n v="2"/>
    <n v="4.5"/>
    <n v="30"/>
    <x v="1"/>
  </r>
  <r>
    <s v="A-e693b6"/>
    <s v="Company_240"/>
    <x v="1"/>
    <s v="AU"/>
    <x v="1"/>
    <n v="55"/>
    <x v="1"/>
    <n v="34155"/>
    <n v="409860"/>
    <n v="1"/>
    <n v="3"/>
    <n v="30"/>
    <x v="1"/>
  </r>
  <r>
    <s v="A-2446e3"/>
    <s v="Company_241"/>
    <x v="0"/>
    <s v="IN"/>
    <x v="2"/>
    <n v="27"/>
    <x v="0"/>
    <n v="24138"/>
    <n v="289656"/>
    <n v="3"/>
    <n v="4"/>
    <n v="30"/>
    <x v="1"/>
  </r>
  <r>
    <s v="A-241e75"/>
    <s v="Company_242"/>
    <x v="0"/>
    <s v="US"/>
    <x v="1"/>
    <n v="3"/>
    <x v="0"/>
    <n v="3594"/>
    <n v="43128"/>
    <n v="4"/>
    <n v="2.25"/>
    <n v="45"/>
    <x v="0"/>
  </r>
  <r>
    <s v="A-922109"/>
    <s v="Company_243"/>
    <x v="4"/>
    <s v="US"/>
    <x v="2"/>
    <n v="3"/>
    <x v="0"/>
    <n v="14118"/>
    <n v="169416"/>
    <n v="3"/>
    <n v="1"/>
    <n v="60"/>
    <x v="2"/>
  </r>
  <r>
    <s v="A-ff3c73"/>
    <s v="Company_244"/>
    <x v="3"/>
    <s v="AU"/>
    <x v="2"/>
    <n v="21"/>
    <x v="0"/>
    <n v="4335"/>
    <n v="52020"/>
    <n v="2"/>
    <n v="3.5"/>
    <n v="30"/>
    <x v="1"/>
  </r>
  <r>
    <s v="A-8b0451"/>
    <s v="Company_245"/>
    <x v="1"/>
    <s v="UK"/>
    <x v="1"/>
    <n v="41"/>
    <x v="0"/>
    <n v="31709"/>
    <n v="380508"/>
    <n v="7"/>
    <n v="2"/>
    <n v="55"/>
    <x v="0"/>
  </r>
  <r>
    <s v="A-331424"/>
    <s v="Company_246"/>
    <x v="2"/>
    <s v="US"/>
    <x v="0"/>
    <n v="11"/>
    <x v="0"/>
    <n v="6776"/>
    <n v="81312"/>
    <n v="2"/>
    <n v="0"/>
    <n v="60"/>
    <x v="2"/>
  </r>
  <r>
    <s v="A-51ec1b"/>
    <s v="Company_247"/>
    <x v="2"/>
    <s v="US"/>
    <x v="1"/>
    <n v="7"/>
    <x v="0"/>
    <n v="11087"/>
    <n v="133044"/>
    <n v="3"/>
    <n v="3.33"/>
    <n v="30"/>
    <x v="1"/>
  </r>
  <r>
    <s v="A-bcf664"/>
    <s v="Company_248"/>
    <x v="2"/>
    <s v="US"/>
    <x v="2"/>
    <n v="5"/>
    <x v="0"/>
    <n v="13728"/>
    <n v="164736"/>
    <n v="5"/>
    <n v="2.4"/>
    <n v="55"/>
    <x v="0"/>
  </r>
  <r>
    <s v="A-90a8c8"/>
    <s v="Company_249"/>
    <x v="1"/>
    <s v="AU"/>
    <x v="2"/>
    <n v="15"/>
    <x v="0"/>
    <n v="26514"/>
    <n v="318168"/>
    <n v="4"/>
    <n v="3.25"/>
    <n v="30"/>
    <x v="1"/>
  </r>
  <r>
    <s v="A-86cdb4"/>
    <s v="Company_250"/>
    <x v="2"/>
    <s v="DE"/>
    <x v="0"/>
    <n v="2"/>
    <x v="0"/>
    <n v="3551"/>
    <n v="42612"/>
    <n v="5"/>
    <n v="2.6"/>
    <n v="10"/>
    <x v="1"/>
  </r>
  <r>
    <s v="A-4bfa33"/>
    <s v="Company_251"/>
    <x v="4"/>
    <s v="US"/>
    <x v="0"/>
    <n v="8"/>
    <x v="0"/>
    <n v="5606"/>
    <n v="67272"/>
    <n v="4"/>
    <n v="2.75"/>
    <n v="30"/>
    <x v="1"/>
  </r>
  <r>
    <s v="A-dbc825"/>
    <s v="Company_252"/>
    <x v="0"/>
    <s v="FR"/>
    <x v="1"/>
    <n v="19"/>
    <x v="0"/>
    <n v="42404"/>
    <n v="508848"/>
    <n v="6"/>
    <n v="1.33"/>
    <n v="70"/>
    <x v="2"/>
  </r>
  <r>
    <s v="A-c70870"/>
    <s v="Company_253"/>
    <x v="4"/>
    <s v="US"/>
    <x v="0"/>
    <n v="31"/>
    <x v="0"/>
    <n v="39614"/>
    <n v="475368"/>
    <n v="5"/>
    <n v="2.4"/>
    <n v="55"/>
    <x v="0"/>
  </r>
  <r>
    <s v="A-7c4956"/>
    <s v="Company_254"/>
    <x v="2"/>
    <s v="US"/>
    <x v="1"/>
    <n v="5"/>
    <x v="1"/>
    <n v="3409"/>
    <n v="40908"/>
    <n v="3"/>
    <n v="1.33"/>
    <n v="30"/>
    <x v="1"/>
  </r>
  <r>
    <s v="A-0651a4"/>
    <s v="Company_255"/>
    <x v="3"/>
    <s v="FR"/>
    <x v="2"/>
    <n v="16"/>
    <x v="0"/>
    <n v="44564"/>
    <n v="534768"/>
    <n v="4"/>
    <n v="2"/>
    <n v="45"/>
    <x v="0"/>
  </r>
  <r>
    <s v="A-3ce5b8"/>
    <s v="Company_256"/>
    <x v="1"/>
    <s v="IN"/>
    <x v="0"/>
    <n v="8"/>
    <x v="1"/>
    <n v="16650"/>
    <n v="199800"/>
    <n v="10"/>
    <n v="2.6"/>
    <n v="50"/>
    <x v="0"/>
  </r>
  <r>
    <s v="A-bd4708"/>
    <s v="Company_257"/>
    <x v="1"/>
    <s v="US"/>
    <x v="2"/>
    <n v="37"/>
    <x v="0"/>
    <n v="38975"/>
    <n v="467700"/>
    <n v="4"/>
    <n v="1.75"/>
    <n v="15"/>
    <x v="1"/>
  </r>
  <r>
    <s v="A-993085"/>
    <s v="Company_258"/>
    <x v="3"/>
    <s v="US"/>
    <x v="0"/>
    <n v="31"/>
    <x v="0"/>
    <n v="48456"/>
    <n v="581472"/>
    <n v="4"/>
    <n v="1.75"/>
    <n v="45"/>
    <x v="0"/>
  </r>
  <r>
    <s v="A-92a3af"/>
    <s v="Company_259"/>
    <x v="4"/>
    <s v="IN"/>
    <x v="1"/>
    <n v="25"/>
    <x v="0"/>
    <n v="34538"/>
    <n v="414456"/>
    <n v="4"/>
    <n v="2"/>
    <n v="15"/>
    <x v="1"/>
  </r>
  <r>
    <s v="A-151c9a"/>
    <s v="Company_260"/>
    <x v="1"/>
    <s v="US"/>
    <x v="1"/>
    <n v="23"/>
    <x v="0"/>
    <n v="14250"/>
    <n v="171000"/>
    <n v="2"/>
    <n v="3.5"/>
    <n v="30"/>
    <x v="1"/>
  </r>
  <r>
    <s v="A-474ad4"/>
    <s v="Company_261"/>
    <x v="0"/>
    <s v="US"/>
    <x v="0"/>
    <n v="8"/>
    <x v="0"/>
    <n v="12125"/>
    <n v="145500"/>
    <n v="3"/>
    <n v="1.67"/>
    <n v="15"/>
    <x v="1"/>
  </r>
  <r>
    <s v="A-4ef964"/>
    <s v="Company_262"/>
    <x v="3"/>
    <s v="US"/>
    <x v="2"/>
    <n v="17"/>
    <x v="0"/>
    <n v="14279"/>
    <n v="171348"/>
    <n v="3"/>
    <n v="2.67"/>
    <n v="30"/>
    <x v="1"/>
  </r>
  <r>
    <s v="A-fd9422"/>
    <s v="Company_263"/>
    <x v="4"/>
    <s v="US"/>
    <x v="2"/>
    <n v="58"/>
    <x v="0"/>
    <n v="28130"/>
    <n v="337560"/>
    <n v="6"/>
    <n v="3.5"/>
    <n v="10"/>
    <x v="1"/>
  </r>
  <r>
    <s v="A-0baac2"/>
    <s v="Company_264"/>
    <x v="1"/>
    <s v="DE"/>
    <x v="1"/>
    <n v="14"/>
    <x v="1"/>
    <n v="18500"/>
    <n v="222000"/>
    <n v="6"/>
    <n v="2.17"/>
    <n v="55"/>
    <x v="0"/>
  </r>
  <r>
    <s v="A-bb1486"/>
    <s v="Company_265"/>
    <x v="3"/>
    <s v="US"/>
    <x v="0"/>
    <n v="41"/>
    <x v="0"/>
    <n v="16307"/>
    <n v="195684"/>
    <n v="3"/>
    <n v="1"/>
    <n v="60"/>
    <x v="2"/>
  </r>
  <r>
    <s v="A-560d27"/>
    <s v="Company_266"/>
    <x v="2"/>
    <s v="US"/>
    <x v="2"/>
    <n v="23"/>
    <x v="0"/>
    <n v="41641"/>
    <n v="499692"/>
    <n v="4"/>
    <n v="2.75"/>
    <n v="0"/>
    <x v="1"/>
  </r>
  <r>
    <s v="A-0b0d6d"/>
    <s v="Company_267"/>
    <x v="2"/>
    <s v="US"/>
    <x v="2"/>
    <n v="3"/>
    <x v="0"/>
    <n v="33491"/>
    <n v="401892"/>
    <n v="5"/>
    <n v="1.6"/>
    <n v="55"/>
    <x v="0"/>
  </r>
  <r>
    <s v="A-2789e3"/>
    <s v="Company_268"/>
    <x v="1"/>
    <s v="US"/>
    <x v="1"/>
    <n v="11"/>
    <x v="0"/>
    <n v="24489"/>
    <n v="293868"/>
    <n v="4"/>
    <n v="3"/>
    <n v="0"/>
    <x v="1"/>
  </r>
  <r>
    <s v="A-b07346"/>
    <s v="Company_269"/>
    <x v="3"/>
    <s v="US"/>
    <x v="2"/>
    <n v="51"/>
    <x v="1"/>
    <n v="31416"/>
    <n v="376992"/>
    <n v="3"/>
    <n v="2.33"/>
    <n v="45"/>
    <x v="0"/>
  </r>
  <r>
    <s v="A-902ef7"/>
    <s v="Company_270"/>
    <x v="3"/>
    <s v="US"/>
    <x v="1"/>
    <n v="83"/>
    <x v="1"/>
    <n v="44322"/>
    <n v="531864"/>
    <n v="2"/>
    <n v="2"/>
    <n v="45"/>
    <x v="0"/>
  </r>
  <r>
    <s v="A-20736a"/>
    <s v="Company_271"/>
    <x v="0"/>
    <s v="IN"/>
    <x v="1"/>
    <n v="50"/>
    <x v="0"/>
    <n v="40525"/>
    <n v="486300"/>
    <n v="4"/>
    <n v="3.75"/>
    <n v="30"/>
    <x v="1"/>
  </r>
  <r>
    <s v="A-e4bf56"/>
    <s v="Company_272"/>
    <x v="3"/>
    <s v="IN"/>
    <x v="2"/>
    <n v="17"/>
    <x v="1"/>
    <n v="18926"/>
    <n v="227112"/>
    <n v="8"/>
    <n v="2.75"/>
    <n v="20"/>
    <x v="1"/>
  </r>
  <r>
    <s v="A-cea1f0"/>
    <s v="Company_273"/>
    <x v="1"/>
    <s v="US"/>
    <x v="2"/>
    <n v="8"/>
    <x v="1"/>
    <n v="12244"/>
    <n v="146928"/>
    <n v="5"/>
    <n v="2.6"/>
    <n v="10"/>
    <x v="1"/>
  </r>
  <r>
    <s v="A-ef84cf"/>
    <s v="Company_274"/>
    <x v="0"/>
    <s v="US"/>
    <x v="1"/>
    <n v="8"/>
    <x v="0"/>
    <n v="7507"/>
    <n v="90084"/>
    <n v="5"/>
    <n v="2.6"/>
    <n v="40"/>
    <x v="0"/>
  </r>
  <r>
    <s v="A-d49cc5"/>
    <s v="Company_275"/>
    <x v="4"/>
    <s v="FR"/>
    <x v="0"/>
    <n v="50"/>
    <x v="0"/>
    <n v="13325"/>
    <n v="159900"/>
    <n v="4"/>
    <n v="2.25"/>
    <n v="45"/>
    <x v="0"/>
  </r>
  <r>
    <s v="A-67be94"/>
    <s v="Company_276"/>
    <x v="0"/>
    <s v="US"/>
    <x v="1"/>
    <n v="26"/>
    <x v="0"/>
    <n v="21930"/>
    <n v="263160"/>
    <n v="5"/>
    <n v="1.6"/>
    <n v="55"/>
    <x v="0"/>
  </r>
  <r>
    <s v="A-4e960a"/>
    <s v="Company_277"/>
    <x v="1"/>
    <s v="US"/>
    <x v="1"/>
    <n v="12"/>
    <x v="1"/>
    <n v="23942"/>
    <n v="287304"/>
    <n v="6"/>
    <n v="2"/>
    <n v="25"/>
    <x v="1"/>
  </r>
  <r>
    <s v="A-c37cab"/>
    <s v="Company_278"/>
    <x v="4"/>
    <s v="UK"/>
    <x v="2"/>
    <n v="13"/>
    <x v="0"/>
    <n v="29433"/>
    <n v="353196"/>
    <n v="4"/>
    <n v="3.75"/>
    <n v="30"/>
    <x v="1"/>
  </r>
  <r>
    <s v="A-533452"/>
    <s v="Company_279"/>
    <x v="2"/>
    <s v="AU"/>
    <x v="2"/>
    <n v="9"/>
    <x v="0"/>
    <n v="20664"/>
    <n v="247968"/>
    <n v="4"/>
    <n v="2"/>
    <n v="45"/>
    <x v="0"/>
  </r>
  <r>
    <s v="A-443b7c"/>
    <s v="Company_280"/>
    <x v="4"/>
    <s v="US"/>
    <x v="1"/>
    <n v="1"/>
    <x v="1"/>
    <n v="24062"/>
    <n v="288744"/>
    <n v="8"/>
    <n v="2.75"/>
    <n v="20"/>
    <x v="1"/>
  </r>
  <r>
    <s v="A-1f7acb"/>
    <s v="Company_281"/>
    <x v="1"/>
    <s v="UK"/>
    <x v="0"/>
    <n v="64"/>
    <x v="0"/>
    <n v="46912"/>
    <n v="562944"/>
    <n v="7"/>
    <n v="3.14"/>
    <n v="10"/>
    <x v="1"/>
  </r>
  <r>
    <s v="A-f51f16"/>
    <s v="Company_282"/>
    <x v="3"/>
    <s v="US"/>
    <x v="1"/>
    <n v="1"/>
    <x v="0"/>
    <n v="13310"/>
    <n v="159720"/>
    <n v="4"/>
    <n v="1.5"/>
    <n v="45"/>
    <x v="0"/>
  </r>
  <r>
    <s v="A-5a3eb9"/>
    <s v="Company_283"/>
    <x v="2"/>
    <s v="CA"/>
    <x v="1"/>
    <n v="18"/>
    <x v="0"/>
    <n v="20293"/>
    <n v="243516"/>
    <n v="3"/>
    <n v="0"/>
    <n v="60"/>
    <x v="2"/>
  </r>
  <r>
    <s v="A-5f2961"/>
    <s v="Company_284"/>
    <x v="3"/>
    <s v="US"/>
    <x v="0"/>
    <n v="4"/>
    <x v="0"/>
    <n v="10299"/>
    <n v="123588"/>
    <n v="1"/>
    <n v="0"/>
    <n v="60"/>
    <x v="2"/>
  </r>
  <r>
    <s v="A-417d2f"/>
    <s v="Company_285"/>
    <x v="4"/>
    <s v="IN"/>
    <x v="2"/>
    <n v="4"/>
    <x v="0"/>
    <n v="22933"/>
    <n v="275196"/>
    <n v="6"/>
    <n v="2.17"/>
    <n v="55"/>
    <x v="0"/>
  </r>
  <r>
    <s v="A-e98302"/>
    <s v="Company_286"/>
    <x v="0"/>
    <s v="US"/>
    <x v="1"/>
    <n v="16"/>
    <x v="0"/>
    <n v="12567"/>
    <n v="150804"/>
    <n v="9"/>
    <n v="3.22"/>
    <n v="20"/>
    <x v="1"/>
  </r>
  <r>
    <s v="A-8bde0c"/>
    <s v="Company_287"/>
    <x v="2"/>
    <s v="US"/>
    <x v="0"/>
    <n v="12"/>
    <x v="0"/>
    <n v="34198"/>
    <n v="410376"/>
    <n v="3"/>
    <n v="2.67"/>
    <n v="30"/>
    <x v="1"/>
  </r>
  <r>
    <s v="A-bcf87c"/>
    <s v="Company_288"/>
    <x v="1"/>
    <s v="US"/>
    <x v="2"/>
    <n v="10"/>
    <x v="1"/>
    <n v="21770"/>
    <n v="261240"/>
    <n v="2"/>
    <n v="4"/>
    <n v="0"/>
    <x v="1"/>
  </r>
  <r>
    <s v="A-54ecc2"/>
    <s v="Company_289"/>
    <x v="4"/>
    <s v="US"/>
    <x v="1"/>
    <n v="4"/>
    <x v="0"/>
    <n v="16168"/>
    <n v="194016"/>
    <n v="5"/>
    <n v="2"/>
    <n v="55"/>
    <x v="0"/>
  </r>
  <r>
    <s v="A-625d0b"/>
    <s v="Company_290"/>
    <x v="0"/>
    <s v="AU"/>
    <x v="0"/>
    <n v="9"/>
    <x v="0"/>
    <n v="11893"/>
    <n v="142716"/>
    <n v="5"/>
    <n v="0.6"/>
    <n v="40"/>
    <x v="0"/>
  </r>
  <r>
    <s v="A-fce879"/>
    <s v="Company_291"/>
    <x v="0"/>
    <s v="UK"/>
    <x v="2"/>
    <n v="10"/>
    <x v="1"/>
    <n v="6797"/>
    <n v="81564"/>
    <n v="2"/>
    <n v="4"/>
    <n v="30"/>
    <x v="1"/>
  </r>
  <r>
    <s v="A-b07b56"/>
    <s v="Company_292"/>
    <x v="2"/>
    <s v="US"/>
    <x v="2"/>
    <n v="25"/>
    <x v="1"/>
    <n v="16984"/>
    <n v="203808"/>
    <n v="4"/>
    <n v="0.75"/>
    <n v="60"/>
    <x v="2"/>
  </r>
  <r>
    <s v="A-6da850"/>
    <s v="Company_293"/>
    <x v="1"/>
    <s v="IN"/>
    <x v="2"/>
    <n v="5"/>
    <x v="0"/>
    <n v="18559"/>
    <n v="222708"/>
    <n v="5"/>
    <n v="0.8"/>
    <n v="70"/>
    <x v="2"/>
  </r>
  <r>
    <s v="A-342303"/>
    <s v="Company_294"/>
    <x v="0"/>
    <s v="US"/>
    <x v="2"/>
    <n v="1"/>
    <x v="0"/>
    <n v="1695"/>
    <n v="20340"/>
    <n v="3"/>
    <n v="3"/>
    <n v="30"/>
    <x v="1"/>
  </r>
  <r>
    <s v="A-e7a1e2"/>
    <s v="Company_295"/>
    <x v="4"/>
    <s v="US"/>
    <x v="1"/>
    <n v="3"/>
    <x v="0"/>
    <n v="20042"/>
    <n v="240504"/>
    <n v="1"/>
    <n v="4"/>
    <n v="30"/>
    <x v="1"/>
  </r>
  <r>
    <s v="A-f1f639"/>
    <s v="Company_296"/>
    <x v="0"/>
    <s v="US"/>
    <x v="0"/>
    <n v="2"/>
    <x v="0"/>
    <n v="2919"/>
    <n v="35028"/>
    <n v="7"/>
    <n v="3.43"/>
    <n v="40"/>
    <x v="0"/>
  </r>
  <r>
    <s v="A-a865bd"/>
    <s v="Company_297"/>
    <x v="4"/>
    <s v="US"/>
    <x v="2"/>
    <n v="38"/>
    <x v="0"/>
    <n v="21022"/>
    <n v="252264"/>
    <n v="2"/>
    <n v="1.5"/>
    <n v="45"/>
    <x v="0"/>
  </r>
  <r>
    <s v="A-4e631b"/>
    <s v="Company_298"/>
    <x v="1"/>
    <s v="US"/>
    <x v="1"/>
    <n v="22"/>
    <x v="0"/>
    <n v="24398"/>
    <n v="292776"/>
    <n v="2"/>
    <n v="2"/>
    <n v="15"/>
    <x v="1"/>
  </r>
  <r>
    <s v="A-7f6b86"/>
    <s v="Company_299"/>
    <x v="3"/>
    <s v="US"/>
    <x v="0"/>
    <n v="45"/>
    <x v="1"/>
    <n v="19402"/>
    <n v="232824"/>
    <n v="7"/>
    <n v="1.57"/>
    <n v="55"/>
    <x v="0"/>
  </r>
  <r>
    <s v="A-8adedc"/>
    <s v="Company_300"/>
    <x v="0"/>
    <s v="US"/>
    <x v="0"/>
    <n v="4"/>
    <x v="1"/>
    <n v="28328"/>
    <n v="339936"/>
    <n v="4"/>
    <n v="1"/>
    <n v="30"/>
    <x v="1"/>
  </r>
  <r>
    <s v="A-2edab2"/>
    <s v="Company_301"/>
    <x v="3"/>
    <s v="US"/>
    <x v="1"/>
    <n v="17"/>
    <x v="0"/>
    <n v="11390"/>
    <n v="136680"/>
    <n v="4"/>
    <n v="0.75"/>
    <n v="60"/>
    <x v="2"/>
  </r>
  <r>
    <s v="A-149a69"/>
    <s v="Company_302"/>
    <x v="2"/>
    <s v="US"/>
    <x v="0"/>
    <n v="34"/>
    <x v="0"/>
    <n v="8058"/>
    <n v="96696"/>
    <n v="8"/>
    <n v="2.62"/>
    <n v="50"/>
    <x v="0"/>
  </r>
  <r>
    <s v="A-a6d261"/>
    <s v="Company_303"/>
    <x v="1"/>
    <s v="CA"/>
    <x v="2"/>
    <n v="9"/>
    <x v="0"/>
    <n v="38191"/>
    <n v="458292"/>
    <n v="4"/>
    <n v="3.5"/>
    <n v="30"/>
    <x v="1"/>
  </r>
  <r>
    <s v="A-443f6f"/>
    <s v="Company_304"/>
    <x v="4"/>
    <s v="US"/>
    <x v="0"/>
    <n v="19"/>
    <x v="0"/>
    <n v="13594"/>
    <n v="163128"/>
    <n v="4"/>
    <n v="3.5"/>
    <n v="0"/>
    <x v="1"/>
  </r>
  <r>
    <s v="A-202b67"/>
    <s v="Company_305"/>
    <x v="3"/>
    <s v="US"/>
    <x v="2"/>
    <n v="11"/>
    <x v="0"/>
    <n v="18168"/>
    <n v="218016"/>
    <n v="4"/>
    <n v="3.5"/>
    <n v="30"/>
    <x v="1"/>
  </r>
  <r>
    <s v="A-00bed1"/>
    <s v="Company_306"/>
    <x v="4"/>
    <s v="US"/>
    <x v="0"/>
    <n v="28"/>
    <x v="0"/>
    <n v="33506"/>
    <n v="402072"/>
    <n v="4"/>
    <n v="1"/>
    <n v="60"/>
    <x v="2"/>
  </r>
  <r>
    <s v="A-ffc04f"/>
    <s v="Company_307"/>
    <x v="0"/>
    <s v="US"/>
    <x v="2"/>
    <n v="13"/>
    <x v="0"/>
    <n v="20039"/>
    <n v="240468"/>
    <n v="7"/>
    <n v="2.57"/>
    <n v="40"/>
    <x v="0"/>
  </r>
  <r>
    <s v="A-65c341"/>
    <s v="Company_308"/>
    <x v="1"/>
    <s v="US"/>
    <x v="2"/>
    <n v="11"/>
    <x v="0"/>
    <n v="30546"/>
    <n v="366552"/>
    <n v="5"/>
    <n v="0.8"/>
    <n v="70"/>
    <x v="2"/>
  </r>
  <r>
    <s v="A-dcc2f0"/>
    <s v="Company_309"/>
    <x v="1"/>
    <s v="UK"/>
    <x v="0"/>
    <n v="15"/>
    <x v="0"/>
    <n v="17493"/>
    <n v="209916"/>
    <n v="2"/>
    <n v="0"/>
    <n v="60"/>
    <x v="2"/>
  </r>
  <r>
    <s v="A-ced9aa"/>
    <s v="Company_310"/>
    <x v="2"/>
    <s v="US"/>
    <x v="1"/>
    <n v="3"/>
    <x v="0"/>
    <n v="6252"/>
    <n v="75024"/>
    <n v="7"/>
    <n v="0.43"/>
    <n v="40"/>
    <x v="0"/>
  </r>
  <r>
    <s v="A-3d957b"/>
    <s v="Company_311"/>
    <x v="3"/>
    <s v="UK"/>
    <x v="2"/>
    <n v="14"/>
    <x v="0"/>
    <n v="11852"/>
    <n v="142224"/>
    <n v="3"/>
    <n v="1"/>
    <n v="60"/>
    <x v="2"/>
  </r>
  <r>
    <s v="A-89ee83"/>
    <s v="Company_312"/>
    <x v="4"/>
    <s v="US"/>
    <x v="2"/>
    <n v="1"/>
    <x v="1"/>
    <n v="24907"/>
    <n v="298884"/>
    <n v="5"/>
    <n v="2.4"/>
    <n v="25"/>
    <x v="1"/>
  </r>
  <r>
    <s v="A-883b7d"/>
    <s v="Company_313"/>
    <x v="4"/>
    <s v="IN"/>
    <x v="0"/>
    <n v="17"/>
    <x v="0"/>
    <n v="30524"/>
    <n v="366288"/>
    <n v="7"/>
    <n v="2.57"/>
    <n v="10"/>
    <x v="1"/>
  </r>
  <r>
    <s v="A-dcc3f1"/>
    <s v="Company_314"/>
    <x v="3"/>
    <s v="US"/>
    <x v="2"/>
    <n v="21"/>
    <x v="0"/>
    <n v="12747"/>
    <n v="152964"/>
    <n v="9"/>
    <n v="2.11"/>
    <n v="65"/>
    <x v="2"/>
  </r>
  <r>
    <s v="A-c62e55"/>
    <s v="Company_315"/>
    <x v="0"/>
    <s v="US"/>
    <x v="0"/>
    <n v="1"/>
    <x v="0"/>
    <n v="11902"/>
    <n v="142824"/>
    <n v="4"/>
    <n v="3"/>
    <n v="0"/>
    <x v="1"/>
  </r>
  <r>
    <s v="A-e4144b"/>
    <s v="Company_316"/>
    <x v="0"/>
    <s v="UK"/>
    <x v="2"/>
    <n v="41"/>
    <x v="0"/>
    <n v="35424"/>
    <n v="425088"/>
    <n v="3"/>
    <n v="2.67"/>
    <n v="0"/>
    <x v="1"/>
  </r>
  <r>
    <s v="A-e40f45"/>
    <s v="Company_317"/>
    <x v="3"/>
    <s v="US"/>
    <x v="2"/>
    <n v="21"/>
    <x v="0"/>
    <n v="11825"/>
    <n v="141900"/>
    <n v="7"/>
    <n v="1.86"/>
    <n v="55"/>
    <x v="0"/>
  </r>
  <r>
    <s v="A-96215d"/>
    <s v="Company_318"/>
    <x v="1"/>
    <s v="US"/>
    <x v="1"/>
    <n v="10"/>
    <x v="0"/>
    <n v="10312"/>
    <n v="123744"/>
    <n v="1"/>
    <n v="3"/>
    <n v="0"/>
    <x v="1"/>
  </r>
  <r>
    <s v="A-2b9d3e"/>
    <s v="Company_319"/>
    <x v="0"/>
    <s v="US"/>
    <x v="1"/>
    <n v="1"/>
    <x v="0"/>
    <n v="5142"/>
    <n v="61704"/>
    <n v="3"/>
    <n v="1.67"/>
    <n v="15"/>
    <x v="1"/>
  </r>
  <r>
    <s v="A-b7724f"/>
    <s v="Company_320"/>
    <x v="3"/>
    <s v="UK"/>
    <x v="0"/>
    <n v="1"/>
    <x v="0"/>
    <n v="3222"/>
    <n v="38664"/>
    <n v="3"/>
    <n v="2"/>
    <n v="45"/>
    <x v="0"/>
  </r>
  <r>
    <s v="A-310452"/>
    <s v="Company_321"/>
    <x v="2"/>
    <s v="FR"/>
    <x v="1"/>
    <n v="9"/>
    <x v="0"/>
    <n v="11003"/>
    <n v="132036"/>
    <n v="5"/>
    <n v="3.6"/>
    <n v="40"/>
    <x v="0"/>
  </r>
  <r>
    <s v="A-eb1312"/>
    <s v="Company_322"/>
    <x v="1"/>
    <s v="US"/>
    <x v="2"/>
    <n v="25"/>
    <x v="0"/>
    <n v="18147"/>
    <n v="217764"/>
    <n v="1"/>
    <n v="5"/>
    <n v="30"/>
    <x v="1"/>
  </r>
  <r>
    <s v="A-df1e44"/>
    <s v="Company_323"/>
    <x v="4"/>
    <s v="UK"/>
    <x v="1"/>
    <n v="12"/>
    <x v="0"/>
    <n v="13107"/>
    <n v="157284"/>
    <n v="2"/>
    <n v="2.5"/>
    <n v="30"/>
    <x v="1"/>
  </r>
  <r>
    <s v="A-6a7c9d"/>
    <s v="Company_324"/>
    <x v="4"/>
    <s v="US"/>
    <x v="1"/>
    <n v="26"/>
    <x v="1"/>
    <n v="13028"/>
    <n v="156336"/>
    <n v="3"/>
    <n v="2.67"/>
    <n v="30"/>
    <x v="1"/>
  </r>
  <r>
    <s v="A-cbd1a3"/>
    <s v="Company_325"/>
    <x v="2"/>
    <s v="US"/>
    <x v="0"/>
    <n v="6"/>
    <x v="1"/>
    <n v="16351"/>
    <n v="196212"/>
    <n v="4"/>
    <n v="2"/>
    <n v="15"/>
    <x v="1"/>
  </r>
  <r>
    <s v="A-a8d89d"/>
    <s v="Company_326"/>
    <x v="0"/>
    <s v="US"/>
    <x v="2"/>
    <n v="13"/>
    <x v="0"/>
    <n v="29320"/>
    <n v="351840"/>
    <n v="2"/>
    <n v="2.5"/>
    <n v="30"/>
    <x v="1"/>
  </r>
  <r>
    <s v="A-600734"/>
    <s v="Company_327"/>
    <x v="2"/>
    <s v="US"/>
    <x v="2"/>
    <n v="29"/>
    <x v="1"/>
    <n v="18132"/>
    <n v="217584"/>
    <n v="7"/>
    <n v="1.57"/>
    <n v="25"/>
    <x v="1"/>
  </r>
  <r>
    <s v="A-86fc1d"/>
    <s v="Company_328"/>
    <x v="2"/>
    <s v="UK"/>
    <x v="0"/>
    <n v="26"/>
    <x v="0"/>
    <n v="15181"/>
    <n v="182172"/>
    <n v="5"/>
    <n v="1.6"/>
    <n v="55"/>
    <x v="0"/>
  </r>
  <r>
    <s v="A-78f02b"/>
    <s v="Company_329"/>
    <x v="3"/>
    <s v="US"/>
    <x v="1"/>
    <n v="11"/>
    <x v="0"/>
    <n v="15081"/>
    <n v="180972"/>
    <n v="4"/>
    <n v="3"/>
    <n v="30"/>
    <x v="1"/>
  </r>
  <r>
    <s v="A-acb7f7"/>
    <s v="Company_330"/>
    <x v="0"/>
    <s v="US"/>
    <x v="0"/>
    <n v="32"/>
    <x v="0"/>
    <n v="32574"/>
    <n v="390888"/>
    <n v="3"/>
    <n v="2.33"/>
    <n v="45"/>
    <x v="0"/>
  </r>
  <r>
    <s v="A-712f1c"/>
    <s v="Company_331"/>
    <x v="2"/>
    <s v="US"/>
    <x v="0"/>
    <n v="17"/>
    <x v="1"/>
    <n v="42999"/>
    <n v="515988"/>
    <n v="6"/>
    <n v="2.67"/>
    <n v="40"/>
    <x v="0"/>
  </r>
  <r>
    <s v="A-3793ee"/>
    <s v="Company_332"/>
    <x v="4"/>
    <s v="CA"/>
    <x v="1"/>
    <n v="49"/>
    <x v="0"/>
    <n v="26705"/>
    <n v="320460"/>
    <n v="4"/>
    <n v="1"/>
    <n v="60"/>
    <x v="2"/>
  </r>
  <r>
    <s v="A-9a532a"/>
    <s v="Company_333"/>
    <x v="3"/>
    <s v="US"/>
    <x v="1"/>
    <n v="11"/>
    <x v="0"/>
    <n v="10945"/>
    <n v="131340"/>
    <n v="2"/>
    <n v="0"/>
    <n v="30"/>
    <x v="1"/>
  </r>
  <r>
    <s v="A-2ebb4b"/>
    <s v="Company_334"/>
    <x v="3"/>
    <s v="US"/>
    <x v="0"/>
    <n v="41"/>
    <x v="0"/>
    <n v="30688"/>
    <n v="368256"/>
    <n v="2"/>
    <n v="3"/>
    <n v="30"/>
    <x v="1"/>
  </r>
  <r>
    <s v="A-6843f2"/>
    <s v="Company_335"/>
    <x v="3"/>
    <s v="CA"/>
    <x v="1"/>
    <n v="21"/>
    <x v="0"/>
    <n v="16520"/>
    <n v="198240"/>
    <n v="2"/>
    <n v="3"/>
    <n v="0"/>
    <x v="1"/>
  </r>
  <r>
    <s v="A-c9bb3e"/>
    <s v="Company_336"/>
    <x v="0"/>
    <s v="US"/>
    <x v="2"/>
    <n v="5"/>
    <x v="0"/>
    <n v="15217"/>
    <n v="182604"/>
    <n v="7"/>
    <n v="3"/>
    <n v="40"/>
    <x v="0"/>
  </r>
  <r>
    <s v="A-4814a3"/>
    <s v="Company_337"/>
    <x v="4"/>
    <s v="IN"/>
    <x v="0"/>
    <n v="87"/>
    <x v="1"/>
    <n v="87957"/>
    <n v="1055484"/>
    <n v="4"/>
    <n v="1"/>
    <n v="60"/>
    <x v="2"/>
  </r>
  <r>
    <s v="A-b7b7b7"/>
    <s v="Company_338"/>
    <x v="1"/>
    <s v="US"/>
    <x v="0"/>
    <n v="24"/>
    <x v="1"/>
    <n v="28558"/>
    <n v="342696"/>
    <n v="3"/>
    <n v="3.33"/>
    <n v="0"/>
    <x v="1"/>
  </r>
  <r>
    <s v="A-ccc747"/>
    <s v="Company_339"/>
    <x v="3"/>
    <s v="FR"/>
    <x v="2"/>
    <n v="16"/>
    <x v="1"/>
    <n v="4812"/>
    <n v="57744"/>
    <n v="4"/>
    <n v="1.25"/>
    <n v="60"/>
    <x v="2"/>
  </r>
  <r>
    <s v="A-bb3bd4"/>
    <s v="Company_340"/>
    <x v="3"/>
    <s v="US"/>
    <x v="0"/>
    <n v="23"/>
    <x v="0"/>
    <n v="7452"/>
    <n v="89424"/>
    <n v="11"/>
    <n v="2.64"/>
    <n v="50"/>
    <x v="0"/>
  </r>
  <r>
    <s v="A-09316c"/>
    <s v="Company_341"/>
    <x v="1"/>
    <s v="AU"/>
    <x v="1"/>
    <n v="70"/>
    <x v="0"/>
    <n v="70000"/>
    <n v="840000"/>
    <n v="4"/>
    <n v="3.75"/>
    <n v="30"/>
    <x v="1"/>
  </r>
  <r>
    <s v="A-96bbc6"/>
    <s v="Company_342"/>
    <x v="4"/>
    <s v="US"/>
    <x v="1"/>
    <n v="39"/>
    <x v="0"/>
    <n v="30426"/>
    <n v="365112"/>
    <n v="3"/>
    <n v="3.33"/>
    <n v="30"/>
    <x v="1"/>
  </r>
  <r>
    <s v="A-bc4d48"/>
    <s v="Company_343"/>
    <x v="0"/>
    <s v="US"/>
    <x v="2"/>
    <n v="35"/>
    <x v="0"/>
    <n v="12390"/>
    <n v="148680"/>
    <n v="6"/>
    <n v="3.5"/>
    <n v="10"/>
    <x v="1"/>
  </r>
  <r>
    <s v="A-b30291"/>
    <s v="Company_344"/>
    <x v="3"/>
    <s v="US"/>
    <x v="0"/>
    <n v="5"/>
    <x v="1"/>
    <n v="5375"/>
    <n v="64500"/>
    <n v="1"/>
    <n v="0"/>
    <n v="60"/>
    <x v="2"/>
  </r>
  <r>
    <s v="A-cdf020"/>
    <s v="Company_345"/>
    <x v="2"/>
    <s v="AU"/>
    <x v="2"/>
    <n v="23"/>
    <x v="0"/>
    <n v="18072"/>
    <n v="216864"/>
    <n v="4"/>
    <n v="3"/>
    <n v="30"/>
    <x v="1"/>
  </r>
  <r>
    <s v="A-e6afc1"/>
    <s v="Company_346"/>
    <x v="2"/>
    <s v="US"/>
    <x v="2"/>
    <n v="1"/>
    <x v="0"/>
    <n v="22582"/>
    <n v="270984"/>
    <n v="0"/>
    <n v="0"/>
    <n v="0"/>
    <x v="1"/>
  </r>
  <r>
    <s v="A-e3bd71"/>
    <s v="Company_347"/>
    <x v="4"/>
    <s v="US"/>
    <x v="0"/>
    <n v="31"/>
    <x v="0"/>
    <n v="41630"/>
    <n v="499560"/>
    <n v="4"/>
    <n v="2"/>
    <n v="45"/>
    <x v="0"/>
  </r>
  <r>
    <s v="A-b179bf"/>
    <s v="Company_348"/>
    <x v="4"/>
    <s v="IN"/>
    <x v="0"/>
    <n v="43"/>
    <x v="0"/>
    <n v="17931"/>
    <n v="215172"/>
    <n v="6"/>
    <n v="0.67"/>
    <n v="70"/>
    <x v="2"/>
  </r>
  <r>
    <s v="A-098560"/>
    <s v="Company_349"/>
    <x v="2"/>
    <s v="UK"/>
    <x v="1"/>
    <n v="1"/>
    <x v="1"/>
    <n v="12326"/>
    <n v="147912"/>
    <n v="2"/>
    <n v="3"/>
    <n v="30"/>
    <x v="1"/>
  </r>
  <r>
    <s v="A-82861f"/>
    <s v="Company_350"/>
    <x v="2"/>
    <s v="UK"/>
    <x v="0"/>
    <n v="41"/>
    <x v="0"/>
    <n v="43633"/>
    <n v="523596"/>
    <n v="5"/>
    <n v="3.2"/>
    <n v="40"/>
    <x v="0"/>
  </r>
  <r>
    <s v="A-94c3cd"/>
    <s v="Company_351"/>
    <x v="1"/>
    <s v="CA"/>
    <x v="1"/>
    <n v="32"/>
    <x v="0"/>
    <n v="9036"/>
    <n v="108432"/>
    <n v="4"/>
    <n v="1.75"/>
    <n v="15"/>
    <x v="1"/>
  </r>
  <r>
    <s v="A-a33200"/>
    <s v="Company_352"/>
    <x v="3"/>
    <s v="US"/>
    <x v="0"/>
    <n v="29"/>
    <x v="0"/>
    <n v="28913"/>
    <n v="346956"/>
    <n v="3"/>
    <n v="3"/>
    <n v="30"/>
    <x v="1"/>
  </r>
  <r>
    <s v="A-034368"/>
    <s v="Company_353"/>
    <x v="0"/>
    <s v="US"/>
    <x v="1"/>
    <n v="19"/>
    <x v="0"/>
    <n v="11194"/>
    <n v="134328"/>
    <n v="5"/>
    <n v="1.6"/>
    <n v="55"/>
    <x v="0"/>
  </r>
  <r>
    <s v="A-b54c01"/>
    <s v="Company_354"/>
    <x v="2"/>
    <s v="US"/>
    <x v="1"/>
    <n v="29"/>
    <x v="0"/>
    <n v="3393"/>
    <n v="40716"/>
    <n v="5"/>
    <n v="1.2"/>
    <n v="70"/>
    <x v="2"/>
  </r>
  <r>
    <s v="A-d82ef9"/>
    <s v="Company_355"/>
    <x v="0"/>
    <s v="UK"/>
    <x v="0"/>
    <n v="26"/>
    <x v="1"/>
    <n v="14327"/>
    <n v="171924"/>
    <n v="5"/>
    <n v="3.4"/>
    <n v="40"/>
    <x v="0"/>
  </r>
  <r>
    <s v="A-bb2f49"/>
    <s v="Company_356"/>
    <x v="4"/>
    <s v="US"/>
    <x v="2"/>
    <n v="8"/>
    <x v="0"/>
    <n v="23990"/>
    <n v="287880"/>
    <n v="3"/>
    <n v="2.67"/>
    <n v="0"/>
    <x v="1"/>
  </r>
  <r>
    <s v="A-1f559b"/>
    <s v="Company_357"/>
    <x v="3"/>
    <s v="US"/>
    <x v="1"/>
    <n v="5"/>
    <x v="1"/>
    <n v="11756"/>
    <n v="141072"/>
    <n v="5"/>
    <n v="4.2"/>
    <n v="40"/>
    <x v="0"/>
  </r>
  <r>
    <s v="A-5a215a"/>
    <s v="Company_358"/>
    <x v="0"/>
    <s v="FR"/>
    <x v="1"/>
    <n v="87"/>
    <x v="0"/>
    <n v="130152"/>
    <n v="1561824"/>
    <n v="4"/>
    <n v="3"/>
    <n v="0"/>
    <x v="1"/>
  </r>
  <r>
    <s v="A-3f9cc0"/>
    <s v="Company_359"/>
    <x v="3"/>
    <s v="US"/>
    <x v="0"/>
    <n v="22"/>
    <x v="0"/>
    <n v="19940"/>
    <n v="239280"/>
    <n v="5"/>
    <n v="1.8"/>
    <n v="55"/>
    <x v="0"/>
  </r>
  <r>
    <s v="A-f9cc74"/>
    <s v="Company_360"/>
    <x v="2"/>
    <s v="FR"/>
    <x v="1"/>
    <n v="30"/>
    <x v="0"/>
    <n v="15557"/>
    <n v="186684"/>
    <n v="6"/>
    <n v="3.33"/>
    <n v="10"/>
    <x v="1"/>
  </r>
  <r>
    <s v="A-ed510f"/>
    <s v="Company_361"/>
    <x v="4"/>
    <s v="IN"/>
    <x v="0"/>
    <n v="42"/>
    <x v="0"/>
    <n v="36162"/>
    <n v="433944"/>
    <n v="9"/>
    <n v="1.78"/>
    <n v="65"/>
    <x v="2"/>
  </r>
  <r>
    <s v="A-5c9849"/>
    <s v="Company_362"/>
    <x v="0"/>
    <s v="IN"/>
    <x v="0"/>
    <n v="19"/>
    <x v="0"/>
    <n v="36755"/>
    <n v="441060"/>
    <n v="4"/>
    <n v="0"/>
    <n v="60"/>
    <x v="2"/>
  </r>
  <r>
    <s v="A-a7bd4b"/>
    <s v="Company_363"/>
    <x v="4"/>
    <s v="US"/>
    <x v="1"/>
    <n v="5"/>
    <x v="0"/>
    <n v="6268"/>
    <n v="75216"/>
    <n v="6"/>
    <n v="2.17"/>
    <n v="55"/>
    <x v="0"/>
  </r>
  <r>
    <s v="A-d4ac0e"/>
    <s v="Company_364"/>
    <x v="2"/>
    <s v="UK"/>
    <x v="0"/>
    <n v="18"/>
    <x v="0"/>
    <n v="27557"/>
    <n v="330684"/>
    <n v="4"/>
    <n v="1.75"/>
    <n v="15"/>
    <x v="1"/>
  </r>
  <r>
    <s v="A-ffdfd5"/>
    <s v="Company_365"/>
    <x v="0"/>
    <s v="US"/>
    <x v="0"/>
    <n v="3"/>
    <x v="1"/>
    <n v="14322"/>
    <n v="171864"/>
    <n v="0"/>
    <n v="0"/>
    <n v="30"/>
    <x v="1"/>
  </r>
  <r>
    <s v="A-0dbdc6"/>
    <s v="Company_366"/>
    <x v="4"/>
    <s v="DE"/>
    <x v="2"/>
    <n v="30"/>
    <x v="1"/>
    <n v="28273"/>
    <n v="339276"/>
    <n v="4"/>
    <n v="1.25"/>
    <n v="60"/>
    <x v="2"/>
  </r>
  <r>
    <s v="A-7cfe77"/>
    <s v="Company_367"/>
    <x v="2"/>
    <s v="US"/>
    <x v="2"/>
    <n v="69"/>
    <x v="0"/>
    <n v="12765"/>
    <n v="153180"/>
    <n v="7"/>
    <n v="2"/>
    <n v="55"/>
    <x v="0"/>
  </r>
  <r>
    <s v="A-1f0636"/>
    <s v="Company_368"/>
    <x v="0"/>
    <s v="AU"/>
    <x v="2"/>
    <n v="105"/>
    <x v="0"/>
    <n v="94710"/>
    <n v="1136520"/>
    <n v="2"/>
    <n v="3.5"/>
    <n v="0"/>
    <x v="1"/>
  </r>
  <r>
    <s v="A-40de06"/>
    <s v="Company_369"/>
    <x v="4"/>
    <s v="US"/>
    <x v="1"/>
    <n v="28"/>
    <x v="1"/>
    <n v="28862"/>
    <n v="346344"/>
    <n v="3"/>
    <n v="1.33"/>
    <n v="30"/>
    <x v="1"/>
  </r>
  <r>
    <s v="A-cb5333"/>
    <s v="Company_370"/>
    <x v="2"/>
    <s v="US"/>
    <x v="2"/>
    <n v="33"/>
    <x v="0"/>
    <n v="26256"/>
    <n v="315072"/>
    <n v="4"/>
    <n v="0.75"/>
    <n v="60"/>
    <x v="2"/>
  </r>
  <r>
    <s v="A-309e54"/>
    <s v="Company_371"/>
    <x v="2"/>
    <s v="US"/>
    <x v="2"/>
    <n v="15"/>
    <x v="0"/>
    <n v="28549"/>
    <n v="342588"/>
    <n v="5"/>
    <n v="0.6"/>
    <n v="70"/>
    <x v="2"/>
  </r>
  <r>
    <s v="A-6e7827"/>
    <s v="Company_372"/>
    <x v="2"/>
    <s v="US"/>
    <x v="0"/>
    <n v="1"/>
    <x v="0"/>
    <n v="8344"/>
    <n v="100128"/>
    <n v="2"/>
    <n v="3.5"/>
    <n v="30"/>
    <x v="1"/>
  </r>
  <r>
    <s v="A-50bb9f"/>
    <s v="Company_373"/>
    <x v="4"/>
    <s v="US"/>
    <x v="2"/>
    <n v="2"/>
    <x v="0"/>
    <n v="17263"/>
    <n v="207156"/>
    <n v="7"/>
    <n v="1.71"/>
    <n v="55"/>
    <x v="0"/>
  </r>
  <r>
    <s v="A-5fe118"/>
    <s v="Company_374"/>
    <x v="4"/>
    <s v="US"/>
    <x v="1"/>
    <n v="39"/>
    <x v="0"/>
    <n v="22290"/>
    <n v="267480"/>
    <n v="1"/>
    <n v="4"/>
    <n v="30"/>
    <x v="1"/>
  </r>
  <r>
    <s v="A-5247b3"/>
    <s v="Company_375"/>
    <x v="1"/>
    <s v="UK"/>
    <x v="2"/>
    <n v="16"/>
    <x v="0"/>
    <n v="11791"/>
    <n v="141492"/>
    <n v="5"/>
    <n v="2.4"/>
    <n v="55"/>
    <x v="0"/>
  </r>
  <r>
    <s v="A-f44180"/>
    <s v="Company_376"/>
    <x v="4"/>
    <s v="UK"/>
    <x v="2"/>
    <n v="9"/>
    <x v="0"/>
    <n v="28788"/>
    <n v="345456"/>
    <n v="2"/>
    <n v="5"/>
    <n v="30"/>
    <x v="1"/>
  </r>
  <r>
    <s v="A-c16cf7"/>
    <s v="Company_377"/>
    <x v="0"/>
    <s v="US"/>
    <x v="2"/>
    <n v="13"/>
    <x v="0"/>
    <n v="12274"/>
    <n v="147288"/>
    <n v="3"/>
    <n v="2.33"/>
    <n v="45"/>
    <x v="0"/>
  </r>
  <r>
    <s v="A-d42431"/>
    <s v="Company_378"/>
    <x v="1"/>
    <s v="FR"/>
    <x v="1"/>
    <n v="22"/>
    <x v="0"/>
    <n v="21160"/>
    <n v="253920"/>
    <n v="4"/>
    <n v="2"/>
    <n v="45"/>
    <x v="0"/>
  </r>
  <r>
    <s v="A-6965e1"/>
    <s v="Company_379"/>
    <x v="2"/>
    <s v="US"/>
    <x v="0"/>
    <n v="13"/>
    <x v="0"/>
    <n v="27765"/>
    <n v="333180"/>
    <n v="3"/>
    <n v="1"/>
    <n v="60"/>
    <x v="2"/>
  </r>
  <r>
    <s v="A-0354fe"/>
    <s v="Company_380"/>
    <x v="4"/>
    <s v="US"/>
    <x v="0"/>
    <n v="34"/>
    <x v="0"/>
    <n v="15470"/>
    <n v="185640"/>
    <n v="4"/>
    <n v="2"/>
    <n v="45"/>
    <x v="0"/>
  </r>
  <r>
    <s v="A-0a62f5"/>
    <s v="Company_381"/>
    <x v="1"/>
    <s v="UK"/>
    <x v="2"/>
    <n v="16"/>
    <x v="0"/>
    <n v="4861"/>
    <n v="58332"/>
    <n v="2"/>
    <n v="0"/>
    <n v="60"/>
    <x v="2"/>
  </r>
  <r>
    <s v="A-f5641b"/>
    <s v="Company_382"/>
    <x v="0"/>
    <s v="US"/>
    <x v="2"/>
    <n v="31"/>
    <x v="0"/>
    <n v="39120"/>
    <n v="469440"/>
    <n v="4"/>
    <n v="1.5"/>
    <n v="45"/>
    <x v="0"/>
  </r>
  <r>
    <s v="A-b44e3e"/>
    <s v="Company_383"/>
    <x v="4"/>
    <s v="UK"/>
    <x v="0"/>
    <n v="40"/>
    <x v="0"/>
    <n v="43521"/>
    <n v="522252"/>
    <n v="3"/>
    <n v="4.33"/>
    <n v="30"/>
    <x v="1"/>
  </r>
  <r>
    <s v="A-3b37d9"/>
    <s v="Company_384"/>
    <x v="1"/>
    <s v="US"/>
    <x v="1"/>
    <n v="23"/>
    <x v="0"/>
    <n v="19435"/>
    <n v="233220"/>
    <n v="5"/>
    <n v="1.8"/>
    <n v="55"/>
    <x v="0"/>
  </r>
  <r>
    <s v="A-54d94a"/>
    <s v="Company_385"/>
    <x v="4"/>
    <s v="IN"/>
    <x v="0"/>
    <n v="27"/>
    <x v="0"/>
    <n v="12557"/>
    <n v="150684"/>
    <n v="4"/>
    <n v="1.75"/>
    <n v="15"/>
    <x v="1"/>
  </r>
  <r>
    <s v="A-7f29a7"/>
    <s v="Company_386"/>
    <x v="4"/>
    <s v="UK"/>
    <x v="0"/>
    <n v="41"/>
    <x v="0"/>
    <n v="18860"/>
    <n v="226320"/>
    <n v="1"/>
    <n v="4"/>
    <n v="30"/>
    <x v="1"/>
  </r>
  <r>
    <s v="A-089363"/>
    <s v="Company_387"/>
    <x v="1"/>
    <s v="AU"/>
    <x v="0"/>
    <n v="2"/>
    <x v="0"/>
    <n v="21104"/>
    <n v="253248"/>
    <n v="3"/>
    <n v="3.67"/>
    <n v="30"/>
    <x v="1"/>
  </r>
  <r>
    <s v="A-524364"/>
    <s v="Company_388"/>
    <x v="2"/>
    <s v="FR"/>
    <x v="1"/>
    <n v="3"/>
    <x v="0"/>
    <n v="9552"/>
    <n v="114624"/>
    <n v="3"/>
    <n v="4.33"/>
    <n v="0"/>
    <x v="1"/>
  </r>
  <r>
    <s v="A-855a48"/>
    <s v="Company_389"/>
    <x v="0"/>
    <s v="US"/>
    <x v="2"/>
    <n v="14"/>
    <x v="0"/>
    <n v="30376"/>
    <n v="364512"/>
    <n v="5"/>
    <n v="2.2000000000000002"/>
    <n v="55"/>
    <x v="0"/>
  </r>
  <r>
    <s v="A-756192"/>
    <s v="Company_390"/>
    <x v="1"/>
    <s v="IN"/>
    <x v="0"/>
    <n v="19"/>
    <x v="0"/>
    <n v="21400"/>
    <n v="256800"/>
    <n v="3"/>
    <n v="2.67"/>
    <n v="0"/>
    <x v="1"/>
  </r>
  <r>
    <s v="A-49b828"/>
    <s v="Company_391"/>
    <x v="1"/>
    <s v="IN"/>
    <x v="2"/>
    <n v="6"/>
    <x v="0"/>
    <n v="31108"/>
    <n v="373296"/>
    <n v="3"/>
    <n v="2.33"/>
    <n v="15"/>
    <x v="1"/>
  </r>
  <r>
    <s v="A-c7ffc2"/>
    <s v="Company_392"/>
    <x v="4"/>
    <s v="US"/>
    <x v="2"/>
    <n v="30"/>
    <x v="0"/>
    <n v="36112"/>
    <n v="433344"/>
    <n v="2"/>
    <n v="1.5"/>
    <n v="45"/>
    <x v="0"/>
  </r>
  <r>
    <s v="A-751c58"/>
    <s v="Company_393"/>
    <x v="1"/>
    <s v="UK"/>
    <x v="0"/>
    <n v="15"/>
    <x v="0"/>
    <n v="19597"/>
    <n v="235164"/>
    <n v="5"/>
    <n v="2.6"/>
    <n v="40"/>
    <x v="0"/>
  </r>
  <r>
    <s v="A-72799b"/>
    <s v="Company_394"/>
    <x v="2"/>
    <s v="FR"/>
    <x v="1"/>
    <n v="20"/>
    <x v="1"/>
    <n v="17315"/>
    <n v="207780"/>
    <n v="2"/>
    <n v="4.5"/>
    <n v="30"/>
    <x v="1"/>
  </r>
  <r>
    <s v="A-812c5b"/>
    <s v="Company_395"/>
    <x v="2"/>
    <s v="CA"/>
    <x v="0"/>
    <n v="55"/>
    <x v="1"/>
    <n v="29884"/>
    <n v="358608"/>
    <n v="4"/>
    <n v="2"/>
    <n v="45"/>
    <x v="0"/>
  </r>
  <r>
    <s v="A-69b156"/>
    <s v="Company_396"/>
    <x v="0"/>
    <s v="US"/>
    <x v="2"/>
    <n v="7"/>
    <x v="1"/>
    <n v="14293"/>
    <n v="171516"/>
    <n v="7"/>
    <n v="2.29"/>
    <n v="25"/>
    <x v="1"/>
  </r>
  <r>
    <s v="A-075038"/>
    <s v="Company_397"/>
    <x v="3"/>
    <s v="UK"/>
    <x v="0"/>
    <n v="17"/>
    <x v="0"/>
    <n v="18909"/>
    <n v="226908"/>
    <n v="2"/>
    <n v="3"/>
    <n v="30"/>
    <x v="1"/>
  </r>
  <r>
    <s v="A-940b8b"/>
    <s v="Company_398"/>
    <x v="3"/>
    <s v="DE"/>
    <x v="0"/>
    <n v="1"/>
    <x v="0"/>
    <n v="9640"/>
    <n v="115680"/>
    <n v="3"/>
    <n v="2.67"/>
    <n v="0"/>
    <x v="1"/>
  </r>
  <r>
    <s v="A-2d1036"/>
    <s v="Company_399"/>
    <x v="1"/>
    <s v="US"/>
    <x v="2"/>
    <n v="69"/>
    <x v="1"/>
    <n v="64653"/>
    <n v="775836"/>
    <n v="5"/>
    <n v="4.5999999999999996"/>
    <n v="40"/>
    <x v="0"/>
  </r>
  <r>
    <s v="A-0f6450"/>
    <s v="Company_400"/>
    <x v="1"/>
    <s v="US"/>
    <x v="2"/>
    <n v="28"/>
    <x v="1"/>
    <n v="23800"/>
    <n v="285600"/>
    <n v="8"/>
    <n v="2.88"/>
    <n v="50"/>
    <x v="0"/>
  </r>
  <r>
    <s v="A-9affe6"/>
    <s v="Company_401"/>
    <x v="4"/>
    <s v="US"/>
    <x v="2"/>
    <n v="7"/>
    <x v="0"/>
    <n v="10636"/>
    <n v="127632"/>
    <n v="3"/>
    <n v="1"/>
    <n v="60"/>
    <x v="2"/>
  </r>
  <r>
    <s v="A-80eeb6"/>
    <s v="Company_402"/>
    <x v="4"/>
    <s v="UK"/>
    <x v="1"/>
    <n v="22"/>
    <x v="0"/>
    <n v="68489"/>
    <n v="821868"/>
    <n v="4"/>
    <n v="2.75"/>
    <n v="30"/>
    <x v="1"/>
  </r>
  <r>
    <s v="A-d4e0d4"/>
    <s v="Company_403"/>
    <x v="1"/>
    <s v="US"/>
    <x v="0"/>
    <n v="117"/>
    <x v="0"/>
    <n v="138060"/>
    <n v="1656720"/>
    <n v="4"/>
    <n v="2"/>
    <n v="15"/>
    <x v="1"/>
  </r>
  <r>
    <s v="A-c7e58b"/>
    <s v="Company_404"/>
    <x v="3"/>
    <s v="IN"/>
    <x v="2"/>
    <n v="3"/>
    <x v="0"/>
    <n v="5384"/>
    <n v="64608"/>
    <n v="5"/>
    <n v="2.8"/>
    <n v="10"/>
    <x v="1"/>
  </r>
  <r>
    <s v="A-016043"/>
    <s v="Company_405"/>
    <x v="0"/>
    <s v="CA"/>
    <x v="0"/>
    <n v="4"/>
    <x v="0"/>
    <n v="16516"/>
    <n v="198192"/>
    <n v="3"/>
    <n v="1.33"/>
    <n v="60"/>
    <x v="2"/>
  </r>
  <r>
    <s v="A-bbe56f"/>
    <s v="Company_406"/>
    <x v="3"/>
    <s v="US"/>
    <x v="1"/>
    <n v="21"/>
    <x v="0"/>
    <n v="6025"/>
    <n v="72300"/>
    <n v="4"/>
    <n v="3"/>
    <n v="0"/>
    <x v="1"/>
  </r>
  <r>
    <s v="A-7c5768"/>
    <s v="Company_407"/>
    <x v="3"/>
    <s v="UK"/>
    <x v="1"/>
    <n v="3"/>
    <x v="0"/>
    <n v="3389"/>
    <n v="40668"/>
    <n v="5"/>
    <n v="2.4"/>
    <n v="25"/>
    <x v="1"/>
  </r>
  <r>
    <s v="A-751bd4"/>
    <s v="Company_408"/>
    <x v="4"/>
    <s v="UK"/>
    <x v="2"/>
    <n v="10"/>
    <x v="0"/>
    <n v="190"/>
    <n v="2280"/>
    <n v="6"/>
    <n v="2.83"/>
    <n v="40"/>
    <x v="0"/>
  </r>
  <r>
    <s v="A-4e0e85"/>
    <s v="Company_409"/>
    <x v="2"/>
    <s v="US"/>
    <x v="1"/>
    <n v="6"/>
    <x v="0"/>
    <n v="4544"/>
    <n v="54528"/>
    <n v="2"/>
    <n v="2.5"/>
    <n v="30"/>
    <x v="1"/>
  </r>
  <r>
    <s v="A-ad3abd"/>
    <s v="Company_410"/>
    <x v="1"/>
    <s v="US"/>
    <x v="2"/>
    <n v="44"/>
    <x v="0"/>
    <n v="16896"/>
    <n v="202752"/>
    <n v="3"/>
    <n v="2"/>
    <n v="45"/>
    <x v="0"/>
  </r>
  <r>
    <s v="A-e19ff6"/>
    <s v="Company_411"/>
    <x v="4"/>
    <s v="UK"/>
    <x v="1"/>
    <n v="1"/>
    <x v="0"/>
    <n v="4910"/>
    <n v="58920"/>
    <n v="3"/>
    <n v="4.67"/>
    <n v="30"/>
    <x v="1"/>
  </r>
  <r>
    <s v="A-7920cc"/>
    <s v="Company_412"/>
    <x v="4"/>
    <s v="FR"/>
    <x v="2"/>
    <n v="39"/>
    <x v="0"/>
    <n v="52089"/>
    <n v="625068"/>
    <n v="7"/>
    <n v="1.86"/>
    <n v="25"/>
    <x v="1"/>
  </r>
  <r>
    <s v="A-5a92e7"/>
    <s v="Company_413"/>
    <x v="3"/>
    <s v="US"/>
    <x v="2"/>
    <n v="4"/>
    <x v="0"/>
    <n v="12671"/>
    <n v="152052"/>
    <n v="7"/>
    <n v="3.14"/>
    <n v="40"/>
    <x v="0"/>
  </r>
  <r>
    <s v="A-fdfc91"/>
    <s v="Company_414"/>
    <x v="4"/>
    <s v="US"/>
    <x v="0"/>
    <n v="29"/>
    <x v="0"/>
    <n v="20612"/>
    <n v="247344"/>
    <n v="5"/>
    <n v="2.2000000000000002"/>
    <n v="25"/>
    <x v="1"/>
  </r>
  <r>
    <s v="A-1e50e0"/>
    <s v="Company_415"/>
    <x v="4"/>
    <s v="DE"/>
    <x v="2"/>
    <n v="19"/>
    <x v="1"/>
    <n v="13295"/>
    <n v="159540"/>
    <n v="2"/>
    <n v="2.5"/>
    <n v="30"/>
    <x v="1"/>
  </r>
  <r>
    <s v="A-1e1b80"/>
    <s v="Company_416"/>
    <x v="1"/>
    <s v="CA"/>
    <x v="1"/>
    <n v="50"/>
    <x v="0"/>
    <n v="48647"/>
    <n v="583764"/>
    <n v="6"/>
    <n v="2.67"/>
    <n v="40"/>
    <x v="0"/>
  </r>
  <r>
    <s v="A-659280"/>
    <s v="Company_417"/>
    <x v="1"/>
    <s v="IN"/>
    <x v="1"/>
    <n v="13"/>
    <x v="1"/>
    <n v="21450"/>
    <n v="257400"/>
    <n v="4"/>
    <n v="3.25"/>
    <n v="30"/>
    <x v="1"/>
  </r>
  <r>
    <s v="A-f6b2fb"/>
    <s v="Company_418"/>
    <x v="2"/>
    <s v="AU"/>
    <x v="0"/>
    <n v="23"/>
    <x v="0"/>
    <n v="23359"/>
    <n v="280308"/>
    <n v="5"/>
    <n v="2.4"/>
    <n v="55"/>
    <x v="0"/>
  </r>
  <r>
    <s v="A-cb6cc6"/>
    <s v="Company_419"/>
    <x v="2"/>
    <s v="US"/>
    <x v="0"/>
    <n v="13"/>
    <x v="0"/>
    <n v="2622"/>
    <n v="31464"/>
    <n v="3"/>
    <n v="2.33"/>
    <n v="15"/>
    <x v="1"/>
  </r>
  <r>
    <s v="A-d62e02"/>
    <s v="Company_420"/>
    <x v="4"/>
    <s v="US"/>
    <x v="2"/>
    <n v="6"/>
    <x v="0"/>
    <n v="21324"/>
    <n v="255888"/>
    <n v="1"/>
    <n v="4"/>
    <n v="0"/>
    <x v="1"/>
  </r>
  <r>
    <s v="A-d535f6"/>
    <s v="Company_421"/>
    <x v="2"/>
    <s v="US"/>
    <x v="0"/>
    <n v="12"/>
    <x v="1"/>
    <n v="7415"/>
    <n v="88980"/>
    <n v="0"/>
    <n v="0"/>
    <n v="30"/>
    <x v="1"/>
  </r>
  <r>
    <s v="A-39868b"/>
    <s v="Company_422"/>
    <x v="1"/>
    <s v="AU"/>
    <x v="2"/>
    <n v="9"/>
    <x v="0"/>
    <n v="4194"/>
    <n v="50328"/>
    <n v="6"/>
    <n v="2.83"/>
    <n v="40"/>
    <x v="0"/>
  </r>
  <r>
    <s v="A-3cc791"/>
    <s v="Company_423"/>
    <x v="0"/>
    <s v="US"/>
    <x v="1"/>
    <n v="6"/>
    <x v="0"/>
    <n v="8522"/>
    <n v="102264"/>
    <n v="6"/>
    <n v="2.83"/>
    <n v="40"/>
    <x v="0"/>
  </r>
  <r>
    <s v="A-337bc1"/>
    <s v="Company_424"/>
    <x v="4"/>
    <s v="US"/>
    <x v="2"/>
    <n v="30"/>
    <x v="0"/>
    <n v="19379"/>
    <n v="232548"/>
    <n v="4"/>
    <n v="3"/>
    <n v="30"/>
    <x v="1"/>
  </r>
  <r>
    <s v="A-58b9ff"/>
    <s v="Company_425"/>
    <x v="2"/>
    <s v="IN"/>
    <x v="1"/>
    <n v="2"/>
    <x v="0"/>
    <n v="22642"/>
    <n v="271704"/>
    <n v="2"/>
    <n v="2"/>
    <n v="45"/>
    <x v="0"/>
  </r>
  <r>
    <s v="A-bf7919"/>
    <s v="Company_426"/>
    <x v="3"/>
    <s v="US"/>
    <x v="2"/>
    <n v="3"/>
    <x v="0"/>
    <n v="1560"/>
    <n v="18720"/>
    <n v="2"/>
    <n v="2.5"/>
    <n v="30"/>
    <x v="1"/>
  </r>
  <r>
    <s v="A-1d5444"/>
    <s v="Company_427"/>
    <x v="4"/>
    <s v="US"/>
    <x v="0"/>
    <n v="24"/>
    <x v="1"/>
    <n v="30958"/>
    <n v="371496"/>
    <n v="2"/>
    <n v="2"/>
    <n v="45"/>
    <x v="0"/>
  </r>
  <r>
    <s v="A-0f3e88"/>
    <s v="Company_428"/>
    <x v="3"/>
    <s v="US"/>
    <x v="0"/>
    <n v="7"/>
    <x v="1"/>
    <n v="5624"/>
    <n v="67488"/>
    <n v="3"/>
    <n v="3"/>
    <n v="30"/>
    <x v="1"/>
  </r>
  <r>
    <s v="A-7641d3"/>
    <s v="Company_429"/>
    <x v="0"/>
    <s v="US"/>
    <x v="2"/>
    <n v="8"/>
    <x v="1"/>
    <n v="12060"/>
    <n v="144720"/>
    <n v="5"/>
    <n v="2.6"/>
    <n v="40"/>
    <x v="0"/>
  </r>
  <r>
    <s v="A-cd458b"/>
    <s v="Company_430"/>
    <x v="2"/>
    <s v="US"/>
    <x v="0"/>
    <n v="10"/>
    <x v="0"/>
    <n v="43291"/>
    <n v="519492"/>
    <n v="5"/>
    <n v="4.5999999999999996"/>
    <n v="40"/>
    <x v="0"/>
  </r>
  <r>
    <s v="A-c16b88"/>
    <s v="Company_431"/>
    <x v="3"/>
    <s v="US"/>
    <x v="1"/>
    <n v="23"/>
    <x v="0"/>
    <n v="20338"/>
    <n v="244056"/>
    <n v="3"/>
    <n v="1"/>
    <n v="60"/>
    <x v="2"/>
  </r>
  <r>
    <s v="A-59f724"/>
    <s v="Company_432"/>
    <x v="3"/>
    <s v="US"/>
    <x v="1"/>
    <n v="3"/>
    <x v="0"/>
    <n v="9773"/>
    <n v="117276"/>
    <n v="4"/>
    <n v="4.25"/>
    <n v="0"/>
    <x v="1"/>
  </r>
  <r>
    <s v="A-87aa7b"/>
    <s v="Company_433"/>
    <x v="3"/>
    <s v="US"/>
    <x v="2"/>
    <n v="24"/>
    <x v="0"/>
    <n v="22881"/>
    <n v="274572"/>
    <n v="3"/>
    <n v="0"/>
    <n v="60"/>
    <x v="2"/>
  </r>
  <r>
    <s v="A-1e6fc3"/>
    <s v="Company_434"/>
    <x v="0"/>
    <s v="FR"/>
    <x v="2"/>
    <n v="1"/>
    <x v="0"/>
    <n v="444"/>
    <n v="5328"/>
    <n v="5"/>
    <n v="2.2000000000000002"/>
    <n v="55"/>
    <x v="0"/>
  </r>
  <r>
    <s v="A-39ddf4"/>
    <s v="Company_435"/>
    <x v="0"/>
    <s v="US"/>
    <x v="1"/>
    <n v="40"/>
    <x v="0"/>
    <n v="35836"/>
    <n v="430032"/>
    <n v="5"/>
    <n v="3.4"/>
    <n v="40"/>
    <x v="0"/>
  </r>
  <r>
    <s v="A-34ea2f"/>
    <s v="Company_436"/>
    <x v="3"/>
    <s v="US"/>
    <x v="1"/>
    <n v="8"/>
    <x v="1"/>
    <n v="14583"/>
    <n v="174996"/>
    <n v="8"/>
    <n v="2.38"/>
    <n v="65"/>
    <x v="2"/>
  </r>
  <r>
    <s v="A-716841"/>
    <s v="Company_437"/>
    <x v="1"/>
    <s v="US"/>
    <x v="2"/>
    <n v="45"/>
    <x v="0"/>
    <n v="26234"/>
    <n v="314808"/>
    <n v="5"/>
    <n v="2.4"/>
    <n v="55"/>
    <x v="0"/>
  </r>
  <r>
    <s v="A-558c72"/>
    <s v="Company_438"/>
    <x v="1"/>
    <s v="US"/>
    <x v="0"/>
    <n v="12"/>
    <x v="0"/>
    <n v="9171"/>
    <n v="110052"/>
    <n v="4"/>
    <n v="2.25"/>
    <n v="45"/>
    <x v="0"/>
  </r>
  <r>
    <s v="A-b11cd0"/>
    <s v="Company_439"/>
    <x v="2"/>
    <s v="US"/>
    <x v="2"/>
    <n v="26"/>
    <x v="1"/>
    <n v="4806"/>
    <n v="57672"/>
    <n v="4"/>
    <n v="2"/>
    <n v="15"/>
    <x v="1"/>
  </r>
  <r>
    <s v="A-cc1d8d"/>
    <s v="Company_440"/>
    <x v="1"/>
    <s v="US"/>
    <x v="2"/>
    <n v="5"/>
    <x v="0"/>
    <n v="8947"/>
    <n v="107364"/>
    <n v="5"/>
    <n v="1.8"/>
    <n v="55"/>
    <x v="0"/>
  </r>
  <r>
    <s v="A-7f4db3"/>
    <s v="Company_441"/>
    <x v="1"/>
    <s v="US"/>
    <x v="2"/>
    <n v="4"/>
    <x v="0"/>
    <n v="26276"/>
    <n v="315312"/>
    <n v="5"/>
    <n v="2.6"/>
    <n v="40"/>
    <x v="0"/>
  </r>
  <r>
    <s v="A-db5e9e"/>
    <s v="Company_442"/>
    <x v="2"/>
    <s v="US"/>
    <x v="0"/>
    <n v="4"/>
    <x v="0"/>
    <n v="9251"/>
    <n v="111012"/>
    <n v="2"/>
    <n v="5"/>
    <n v="30"/>
    <x v="1"/>
  </r>
  <r>
    <s v="A-cc102e"/>
    <s v="Company_443"/>
    <x v="3"/>
    <s v="US"/>
    <x v="1"/>
    <n v="13"/>
    <x v="0"/>
    <n v="10063"/>
    <n v="120756"/>
    <n v="4"/>
    <n v="3.25"/>
    <n v="30"/>
    <x v="1"/>
  </r>
  <r>
    <s v="A-82d8a6"/>
    <s v="Company_444"/>
    <x v="4"/>
    <s v="UK"/>
    <x v="0"/>
    <n v="5"/>
    <x v="0"/>
    <n v="27966"/>
    <n v="335592"/>
    <n v="5"/>
    <n v="1.4"/>
    <n v="70"/>
    <x v="2"/>
  </r>
  <r>
    <s v="A-dec005"/>
    <s v="Company_445"/>
    <x v="3"/>
    <s v="US"/>
    <x v="2"/>
    <n v="21"/>
    <x v="0"/>
    <n v="30744"/>
    <n v="368928"/>
    <n v="2"/>
    <n v="1.5"/>
    <n v="45"/>
    <x v="0"/>
  </r>
  <r>
    <s v="A-5790f4"/>
    <s v="Company_446"/>
    <x v="1"/>
    <s v="UK"/>
    <x v="2"/>
    <n v="1"/>
    <x v="0"/>
    <n v="18926"/>
    <n v="227112"/>
    <n v="4"/>
    <n v="1"/>
    <n v="60"/>
    <x v="2"/>
  </r>
  <r>
    <s v="A-7c83a1"/>
    <s v="Company_447"/>
    <x v="4"/>
    <s v="US"/>
    <x v="2"/>
    <n v="12"/>
    <x v="0"/>
    <n v="16731"/>
    <n v="200772"/>
    <n v="4"/>
    <n v="4"/>
    <n v="30"/>
    <x v="1"/>
  </r>
  <r>
    <s v="A-297a2d"/>
    <s v="Company_448"/>
    <x v="3"/>
    <s v="UK"/>
    <x v="2"/>
    <n v="27"/>
    <x v="0"/>
    <n v="14373"/>
    <n v="172476"/>
    <n v="2"/>
    <n v="1.5"/>
    <n v="15"/>
    <x v="1"/>
  </r>
  <r>
    <s v="A-4c56c9"/>
    <s v="Company_449"/>
    <x v="1"/>
    <s v="US"/>
    <x v="1"/>
    <n v="9"/>
    <x v="1"/>
    <n v="30471"/>
    <n v="365652"/>
    <n v="5"/>
    <n v="3"/>
    <n v="40"/>
    <x v="0"/>
  </r>
  <r>
    <s v="A-cbbe12"/>
    <s v="Company_450"/>
    <x v="4"/>
    <s v="DE"/>
    <x v="1"/>
    <n v="40"/>
    <x v="0"/>
    <n v="13081"/>
    <n v="156972"/>
    <n v="6"/>
    <n v="2.83"/>
    <n v="10"/>
    <x v="1"/>
  </r>
  <r>
    <s v="A-4a267b"/>
    <s v="Company_451"/>
    <x v="1"/>
    <s v="US"/>
    <x v="2"/>
    <n v="25"/>
    <x v="0"/>
    <n v="29687"/>
    <n v="356244"/>
    <n v="4"/>
    <n v="3.25"/>
    <n v="30"/>
    <x v="1"/>
  </r>
  <r>
    <s v="A-bcbe98"/>
    <s v="Company_452"/>
    <x v="4"/>
    <s v="US"/>
    <x v="1"/>
    <n v="46"/>
    <x v="0"/>
    <n v="21666"/>
    <n v="259992"/>
    <n v="7"/>
    <n v="1.71"/>
    <n v="55"/>
    <x v="0"/>
  </r>
  <r>
    <s v="A-427b69"/>
    <s v="Company_453"/>
    <x v="1"/>
    <s v="US"/>
    <x v="0"/>
    <n v="17"/>
    <x v="0"/>
    <n v="19958"/>
    <n v="239496"/>
    <n v="2"/>
    <n v="1.5"/>
    <n v="15"/>
    <x v="1"/>
  </r>
  <r>
    <s v="A-0be015"/>
    <s v="Company_454"/>
    <x v="1"/>
    <s v="US"/>
    <x v="2"/>
    <n v="19"/>
    <x v="0"/>
    <n v="1178"/>
    <n v="14136"/>
    <n v="7"/>
    <n v="3"/>
    <n v="40"/>
    <x v="0"/>
  </r>
  <r>
    <s v="A-054577"/>
    <s v="Company_455"/>
    <x v="0"/>
    <s v="UK"/>
    <x v="0"/>
    <n v="2"/>
    <x v="0"/>
    <n v="44601"/>
    <n v="535212"/>
    <n v="1"/>
    <n v="4"/>
    <n v="0"/>
    <x v="1"/>
  </r>
  <r>
    <s v="A-bc87bc"/>
    <s v="Company_456"/>
    <x v="1"/>
    <s v="US"/>
    <x v="2"/>
    <n v="3"/>
    <x v="0"/>
    <n v="12032"/>
    <n v="144384"/>
    <n v="7"/>
    <n v="2.14"/>
    <n v="25"/>
    <x v="1"/>
  </r>
  <r>
    <s v="A-0f7d77"/>
    <s v="Company_457"/>
    <x v="1"/>
    <s v="IN"/>
    <x v="2"/>
    <n v="3"/>
    <x v="0"/>
    <n v="2326"/>
    <n v="27912"/>
    <n v="5"/>
    <n v="2"/>
    <n v="55"/>
    <x v="0"/>
  </r>
  <r>
    <s v="A-e7beab"/>
    <s v="Company_458"/>
    <x v="0"/>
    <s v="DE"/>
    <x v="1"/>
    <n v="5"/>
    <x v="0"/>
    <n v="11332"/>
    <n v="135984"/>
    <n v="6"/>
    <n v="2.67"/>
    <n v="40"/>
    <x v="0"/>
  </r>
  <r>
    <s v="A-a09355"/>
    <s v="Company_459"/>
    <x v="1"/>
    <s v="US"/>
    <x v="0"/>
    <n v="14"/>
    <x v="0"/>
    <n v="34140"/>
    <n v="409680"/>
    <n v="5"/>
    <n v="2.4"/>
    <n v="55"/>
    <x v="0"/>
  </r>
  <r>
    <s v="A-31ab9a"/>
    <s v="Company_460"/>
    <x v="1"/>
    <s v="DE"/>
    <x v="2"/>
    <n v="3"/>
    <x v="0"/>
    <n v="15802"/>
    <n v="189624"/>
    <n v="7"/>
    <n v="2"/>
    <n v="55"/>
    <x v="0"/>
  </r>
  <r>
    <s v="A-0158bb"/>
    <s v="Company_461"/>
    <x v="1"/>
    <s v="DE"/>
    <x v="0"/>
    <n v="5"/>
    <x v="0"/>
    <n v="4070"/>
    <n v="48840"/>
    <n v="1"/>
    <n v="3"/>
    <n v="0"/>
    <x v="1"/>
  </r>
  <r>
    <s v="A-f19b24"/>
    <s v="Company_462"/>
    <x v="4"/>
    <s v="US"/>
    <x v="2"/>
    <n v="29"/>
    <x v="0"/>
    <n v="2523"/>
    <n v="30276"/>
    <n v="2"/>
    <n v="2"/>
    <n v="15"/>
    <x v="1"/>
  </r>
  <r>
    <s v="A-798a3f"/>
    <s v="Company_463"/>
    <x v="2"/>
    <s v="FR"/>
    <x v="1"/>
    <n v="12"/>
    <x v="1"/>
    <n v="14152"/>
    <n v="169824"/>
    <n v="5"/>
    <n v="2.4"/>
    <n v="55"/>
    <x v="0"/>
  </r>
  <r>
    <s v="A-42b791"/>
    <s v="Company_464"/>
    <x v="1"/>
    <s v="AU"/>
    <x v="2"/>
    <n v="3"/>
    <x v="0"/>
    <n v="19060"/>
    <n v="228720"/>
    <n v="3"/>
    <n v="2.67"/>
    <n v="0"/>
    <x v="1"/>
  </r>
  <r>
    <s v="A-068fc6"/>
    <s v="Company_465"/>
    <x v="0"/>
    <s v="US"/>
    <x v="1"/>
    <n v="35"/>
    <x v="0"/>
    <n v="29085"/>
    <n v="349020"/>
    <n v="5"/>
    <n v="2.6"/>
    <n v="10"/>
    <x v="1"/>
  </r>
  <r>
    <s v="A-6f50ae"/>
    <s v="Company_466"/>
    <x v="1"/>
    <s v="US"/>
    <x v="2"/>
    <n v="19"/>
    <x v="1"/>
    <n v="26608"/>
    <n v="319296"/>
    <n v="5"/>
    <n v="3.6"/>
    <n v="40"/>
    <x v="0"/>
  </r>
  <r>
    <s v="A-a2485e"/>
    <s v="Company_467"/>
    <x v="1"/>
    <s v="US"/>
    <x v="2"/>
    <n v="3"/>
    <x v="0"/>
    <n v="8775"/>
    <n v="105300"/>
    <n v="0"/>
    <n v="0"/>
    <n v="0"/>
    <x v="1"/>
  </r>
  <r>
    <s v="A-bb1eaa"/>
    <s v="Company_468"/>
    <x v="4"/>
    <s v="US"/>
    <x v="0"/>
    <n v="21"/>
    <x v="0"/>
    <n v="10381"/>
    <n v="124572"/>
    <n v="6"/>
    <n v="1.5"/>
    <n v="55"/>
    <x v="0"/>
  </r>
  <r>
    <s v="A-cc98bc"/>
    <s v="Company_469"/>
    <x v="2"/>
    <s v="US"/>
    <x v="0"/>
    <n v="32"/>
    <x v="0"/>
    <n v="21567"/>
    <n v="258804"/>
    <n v="3"/>
    <n v="1.33"/>
    <n v="30"/>
    <x v="1"/>
  </r>
  <r>
    <s v="A-d77f4c"/>
    <s v="Company_470"/>
    <x v="2"/>
    <s v="US"/>
    <x v="2"/>
    <n v="4"/>
    <x v="0"/>
    <n v="48726"/>
    <n v="584712"/>
    <n v="2"/>
    <n v="4"/>
    <n v="30"/>
    <x v="1"/>
  </r>
  <r>
    <s v="A-ccabf0"/>
    <s v="Company_471"/>
    <x v="3"/>
    <s v="IN"/>
    <x v="2"/>
    <n v="1"/>
    <x v="0"/>
    <n v="22379"/>
    <n v="268548"/>
    <n v="4"/>
    <n v="2.75"/>
    <n v="30"/>
    <x v="1"/>
  </r>
  <r>
    <s v="A-700ade"/>
    <s v="Company_472"/>
    <x v="4"/>
    <s v="UK"/>
    <x v="1"/>
    <n v="1"/>
    <x v="0"/>
    <n v="16875"/>
    <n v="202500"/>
    <n v="4"/>
    <n v="3.5"/>
    <n v="0"/>
    <x v="1"/>
  </r>
  <r>
    <s v="A-4a4c2d"/>
    <s v="Company_473"/>
    <x v="2"/>
    <s v="US"/>
    <x v="1"/>
    <n v="54"/>
    <x v="0"/>
    <n v="33966"/>
    <n v="407592"/>
    <n v="5"/>
    <n v="3.4"/>
    <n v="10"/>
    <x v="1"/>
  </r>
  <r>
    <s v="A-b7ef83"/>
    <s v="Company_474"/>
    <x v="4"/>
    <s v="UK"/>
    <x v="2"/>
    <n v="1"/>
    <x v="0"/>
    <n v="35868"/>
    <n v="430416"/>
    <n v="2"/>
    <n v="2"/>
    <n v="45"/>
    <x v="0"/>
  </r>
  <r>
    <s v="A-e08cd3"/>
    <s v="Company_475"/>
    <x v="1"/>
    <s v="US"/>
    <x v="2"/>
    <n v="67"/>
    <x v="0"/>
    <n v="71020"/>
    <n v="852240"/>
    <n v="8"/>
    <n v="2"/>
    <n v="65"/>
    <x v="2"/>
  </r>
  <r>
    <s v="A-19b2c8"/>
    <s v="Company_476"/>
    <x v="2"/>
    <s v="IN"/>
    <x v="2"/>
    <n v="20"/>
    <x v="0"/>
    <n v="26703"/>
    <n v="320436"/>
    <n v="3"/>
    <n v="4.67"/>
    <n v="30"/>
    <x v="1"/>
  </r>
  <r>
    <s v="A-970c97"/>
    <s v="Company_477"/>
    <x v="3"/>
    <s v="DE"/>
    <x v="1"/>
    <n v="14"/>
    <x v="0"/>
    <n v="15381"/>
    <n v="184572"/>
    <n v="1"/>
    <n v="5"/>
    <n v="0"/>
    <x v="1"/>
  </r>
  <r>
    <s v="A-6dee43"/>
    <s v="Company_478"/>
    <x v="1"/>
    <s v="UK"/>
    <x v="0"/>
    <n v="3"/>
    <x v="0"/>
    <n v="22770"/>
    <n v="273240"/>
    <n v="5"/>
    <n v="2.6"/>
    <n v="40"/>
    <x v="0"/>
  </r>
  <r>
    <s v="A-5ed98d"/>
    <s v="Company_479"/>
    <x v="2"/>
    <s v="US"/>
    <x v="0"/>
    <n v="24"/>
    <x v="0"/>
    <n v="15478"/>
    <n v="185736"/>
    <n v="5"/>
    <n v="1"/>
    <n v="70"/>
    <x v="2"/>
  </r>
  <r>
    <s v="A-c58f49"/>
    <s v="Company_480"/>
    <x v="0"/>
    <s v="US"/>
    <x v="1"/>
    <n v="70"/>
    <x v="0"/>
    <n v="70980"/>
    <n v="851760"/>
    <n v="3"/>
    <n v="1.67"/>
    <n v="45"/>
    <x v="0"/>
  </r>
  <r>
    <s v="A-9c18c4"/>
    <s v="Company_481"/>
    <x v="3"/>
    <s v="US"/>
    <x v="2"/>
    <n v="11"/>
    <x v="1"/>
    <n v="17823"/>
    <n v="213876"/>
    <n v="4"/>
    <n v="2"/>
    <n v="15"/>
    <x v="1"/>
  </r>
  <r>
    <s v="A-cc8c8f"/>
    <s v="Company_482"/>
    <x v="2"/>
    <s v="US"/>
    <x v="1"/>
    <n v="23"/>
    <x v="0"/>
    <n v="15600"/>
    <n v="187200"/>
    <n v="2"/>
    <n v="3.5"/>
    <n v="30"/>
    <x v="1"/>
  </r>
  <r>
    <s v="A-5f7781"/>
    <s v="Company_483"/>
    <x v="2"/>
    <s v="US"/>
    <x v="2"/>
    <n v="22"/>
    <x v="0"/>
    <n v="10252"/>
    <n v="123024"/>
    <n v="2"/>
    <n v="2"/>
    <n v="45"/>
    <x v="0"/>
  </r>
  <r>
    <s v="A-e1b9cd"/>
    <s v="Company_484"/>
    <x v="2"/>
    <s v="US"/>
    <x v="2"/>
    <n v="40"/>
    <x v="1"/>
    <n v="37042"/>
    <n v="444504"/>
    <n v="1"/>
    <n v="3"/>
    <n v="30"/>
    <x v="1"/>
  </r>
  <r>
    <s v="A-ac85cd"/>
    <s v="Company_485"/>
    <x v="0"/>
    <s v="US"/>
    <x v="1"/>
    <n v="53"/>
    <x v="0"/>
    <n v="41267"/>
    <n v="495204"/>
    <n v="3"/>
    <n v="2.33"/>
    <n v="45"/>
    <x v="0"/>
  </r>
  <r>
    <s v="A-d792a6"/>
    <s v="Company_486"/>
    <x v="2"/>
    <s v="US"/>
    <x v="1"/>
    <n v="4"/>
    <x v="0"/>
    <n v="23049"/>
    <n v="276588"/>
    <n v="5"/>
    <n v="1.6"/>
    <n v="55"/>
    <x v="0"/>
  </r>
  <r>
    <s v="A-ac9111"/>
    <s v="Company_487"/>
    <x v="3"/>
    <s v="US"/>
    <x v="2"/>
    <n v="21"/>
    <x v="0"/>
    <n v="26626"/>
    <n v="319512"/>
    <n v="3"/>
    <n v="1.67"/>
    <n v="45"/>
    <x v="0"/>
  </r>
  <r>
    <s v="A-18793f"/>
    <s v="Company_488"/>
    <x v="0"/>
    <s v="US"/>
    <x v="0"/>
    <n v="148"/>
    <x v="0"/>
    <n v="78588"/>
    <n v="943056"/>
    <n v="5"/>
    <n v="3.8"/>
    <n v="40"/>
    <x v="0"/>
  </r>
  <r>
    <s v="A-9f0b68"/>
    <s v="Company_489"/>
    <x v="0"/>
    <s v="US"/>
    <x v="0"/>
    <n v="10"/>
    <x v="0"/>
    <n v="28518"/>
    <n v="342216"/>
    <n v="3"/>
    <n v="1"/>
    <n v="60"/>
    <x v="2"/>
  </r>
  <r>
    <s v="A-d3c88e"/>
    <s v="Company_490"/>
    <x v="2"/>
    <s v="US"/>
    <x v="2"/>
    <n v="16"/>
    <x v="0"/>
    <n v="26183"/>
    <n v="314196"/>
    <n v="3"/>
    <n v="1.33"/>
    <n v="60"/>
    <x v="2"/>
  </r>
  <r>
    <s v="A-ccb686"/>
    <s v="Company_491"/>
    <x v="2"/>
    <s v="US"/>
    <x v="0"/>
    <n v="10"/>
    <x v="0"/>
    <n v="21541"/>
    <n v="258492"/>
    <n v="1"/>
    <n v="4"/>
    <n v="30"/>
    <x v="1"/>
  </r>
  <r>
    <s v="A-118f1c"/>
    <s v="Company_492"/>
    <x v="4"/>
    <s v="US"/>
    <x v="2"/>
    <n v="32"/>
    <x v="0"/>
    <n v="52160"/>
    <n v="625920"/>
    <n v="1"/>
    <n v="3"/>
    <n v="30"/>
    <x v="1"/>
  </r>
  <r>
    <s v="A-0e966d"/>
    <s v="Company_493"/>
    <x v="1"/>
    <s v="IN"/>
    <x v="0"/>
    <n v="11"/>
    <x v="1"/>
    <n v="12445"/>
    <n v="149340"/>
    <n v="3"/>
    <n v="3"/>
    <n v="0"/>
    <x v="1"/>
  </r>
  <r>
    <s v="A-b9f5b1"/>
    <s v="Company_494"/>
    <x v="4"/>
    <s v="US"/>
    <x v="2"/>
    <n v="15"/>
    <x v="0"/>
    <n v="7072"/>
    <n v="84864"/>
    <n v="6"/>
    <n v="3.33"/>
    <n v="40"/>
    <x v="0"/>
  </r>
  <r>
    <s v="A-8ae3fc"/>
    <s v="Company_495"/>
    <x v="2"/>
    <s v="CA"/>
    <x v="2"/>
    <n v="9"/>
    <x v="0"/>
    <n v="4447"/>
    <n v="53364"/>
    <n v="4"/>
    <n v="1.75"/>
    <n v="45"/>
    <x v="0"/>
  </r>
  <r>
    <s v="A-55f257"/>
    <s v="Company_496"/>
    <x v="1"/>
    <s v="US"/>
    <x v="0"/>
    <n v="9"/>
    <x v="0"/>
    <n v="12137"/>
    <n v="145644"/>
    <n v="6"/>
    <n v="3.33"/>
    <n v="10"/>
    <x v="1"/>
  </r>
  <r>
    <s v="A-d26ab4"/>
    <s v="Company_497"/>
    <x v="2"/>
    <s v="UK"/>
    <x v="0"/>
    <n v="9"/>
    <x v="1"/>
    <n v="16613"/>
    <n v="199356"/>
    <n v="2"/>
    <n v="2"/>
    <n v="45"/>
    <x v="0"/>
  </r>
  <r>
    <s v="A-712533"/>
    <s v="Company_498"/>
    <x v="0"/>
    <s v="US"/>
    <x v="2"/>
    <n v="18"/>
    <x v="0"/>
    <n v="19382"/>
    <n v="232584"/>
    <n v="5"/>
    <n v="3"/>
    <n v="40"/>
    <x v="0"/>
  </r>
  <r>
    <s v="A-781cc0"/>
    <s v="Company_499"/>
    <x v="0"/>
    <s v="US"/>
    <x v="2"/>
    <n v="12"/>
    <x v="0"/>
    <n v="18315"/>
    <n v="219780"/>
    <n v="4"/>
    <n v="2.75"/>
    <n v="3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6BB27C-45AA-4E5B-9F75-E82270502A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hurn_flag">
  <location ref="J3:K6" firstHeaderRow="1" firstDataRow="1" firstDataCol="1"/>
  <pivotFields count="13">
    <pivotField dataField="1" showAll="0"/>
    <pivotField showAll="0"/>
    <pivotField showAll="0">
      <items count="6">
        <item x="4"/>
        <item x="2"/>
        <item x="0"/>
        <item x="1"/>
        <item x="3"/>
        <item t="default"/>
      </items>
    </pivotField>
    <pivotField showAll="0"/>
    <pivotField showAll="0">
      <items count="4">
        <item x="0"/>
        <item x="1"/>
        <item x="2"/>
        <item t="default"/>
      </items>
    </pivotField>
    <pivotField showAll="0"/>
    <pivotField name="Churn Flag" axis="axisRow" showAll="0">
      <items count="3">
        <item x="0"/>
        <item x="1"/>
        <item t="default"/>
      </items>
    </pivotField>
    <pivotField showAll="0"/>
    <pivotField showAll="0"/>
    <pivotField showAll="0"/>
    <pivotField showAll="0"/>
    <pivotField showAll="0"/>
    <pivotField showAll="0">
      <items count="4">
        <item x="2"/>
        <item x="1"/>
        <item x="0"/>
        <item t="default"/>
      </items>
    </pivotField>
  </pivotFields>
  <rowFields count="1">
    <field x="6"/>
  </rowFields>
  <rowItems count="3">
    <i>
      <x/>
    </i>
    <i>
      <x v="1"/>
    </i>
    <i t="grand">
      <x/>
    </i>
  </rowItems>
  <colItems count="1">
    <i/>
  </colItems>
  <dataFields count="1">
    <dataField name="Count of account_id" fld="0"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D38F40-E485-4A08-88EB-390575A5596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lan_Tier">
  <location ref="D3:E7" firstHeaderRow="1" firstDataRow="1" firstDataCol="1"/>
  <pivotFields count="13">
    <pivotField showAll="0"/>
    <pivotField showAll="0"/>
    <pivotField showAll="0">
      <items count="6">
        <item x="4"/>
        <item x="2"/>
        <item x="0"/>
        <item x="1"/>
        <item x="3"/>
        <item t="default"/>
      </items>
    </pivotField>
    <pivotField showAll="0"/>
    <pivotField name="Plan Tier" axis="axisRow" showAll="0">
      <items count="4">
        <item x="0"/>
        <item x="1"/>
        <item x="2"/>
        <item t="default"/>
      </items>
    </pivotField>
    <pivotField showAll="0"/>
    <pivotField showAll="0"/>
    <pivotField dataField="1" showAll="0"/>
    <pivotField showAll="0"/>
    <pivotField showAll="0"/>
    <pivotField showAll="0"/>
    <pivotField showAll="0"/>
    <pivotField showAll="0">
      <items count="4">
        <item x="2"/>
        <item x="1"/>
        <item x="0"/>
        <item t="default"/>
      </items>
    </pivotField>
  </pivotFields>
  <rowFields count="1">
    <field x="4"/>
  </rowFields>
  <rowItems count="4">
    <i>
      <x/>
    </i>
    <i>
      <x v="1"/>
    </i>
    <i>
      <x v="2"/>
    </i>
    <i t="grand">
      <x/>
    </i>
  </rowItems>
  <colItems count="1">
    <i/>
  </colItems>
  <dataFields count="1">
    <dataField name="Sum of total_mrr" fld="7" baseField="0" baseItem="0"/>
  </dataFields>
  <formats count="1">
    <format dxfId="1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83488E-854C-46B1-B75A-EAAD82EBB88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3:B9" firstHeaderRow="1" firstDataRow="1" firstDataCol="1"/>
  <pivotFields count="13">
    <pivotField dataField="1" showAll="0"/>
    <pivotField showAll="0"/>
    <pivotField axis="axisRow" showAll="0">
      <items count="6">
        <item x="4"/>
        <item x="2"/>
        <item x="0"/>
        <item x="1"/>
        <item x="3"/>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pivotField showAll="0">
      <items count="4">
        <item x="2"/>
        <item x="1"/>
        <item x="0"/>
        <item t="default"/>
      </items>
    </pivotField>
  </pivotFields>
  <rowFields count="1">
    <field x="2"/>
  </rowFields>
  <rowItems count="6">
    <i>
      <x/>
    </i>
    <i>
      <x v="1"/>
    </i>
    <i>
      <x v="2"/>
    </i>
    <i>
      <x v="3"/>
    </i>
    <i>
      <x v="4"/>
    </i>
    <i t="grand">
      <x/>
    </i>
  </rowItems>
  <colItems count="1">
    <i/>
  </colItems>
  <dataFields count="1">
    <dataField name="Count of account_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F7687-5443-40FD-88CA-AA5DE325F640}" name="PivotTable6"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0">
  <location ref="G3:H7" firstHeaderRow="1" firstDataRow="1" firstDataCol="1"/>
  <pivotFields count="13">
    <pivotField dataField="1" compact="0" showAll="0"/>
    <pivotField compact="0" showAll="0"/>
    <pivotField compact="0" showAll="0">
      <items count="6">
        <item x="4"/>
        <item x="2"/>
        <item x="0"/>
        <item x="1"/>
        <item x="3"/>
        <item t="default"/>
      </items>
    </pivotField>
    <pivotField compact="0" showAll="0"/>
    <pivotField compact="0" showAll="0">
      <items count="4">
        <item x="0"/>
        <item x="1"/>
        <item x="2"/>
        <item t="default"/>
      </items>
    </pivotField>
    <pivotField compact="0" showAll="0"/>
    <pivotField compact="0" showAll="0">
      <items count="3">
        <item x="0"/>
        <item x="1"/>
        <item t="default"/>
      </items>
    </pivotField>
    <pivotField compact="0" showAll="0"/>
    <pivotField compact="0" showAll="0"/>
    <pivotField compact="0" showAll="0"/>
    <pivotField compact="0" showAll="0"/>
    <pivotField compact="0" showAll="0"/>
    <pivotField name="Risk Category" axis="axisRow" compact="0" showAll="0" defaultSubtotal="0">
      <items count="3">
        <item x="2"/>
        <item x="1"/>
        <item x="0"/>
      </items>
    </pivotField>
  </pivotFields>
  <rowFields count="1">
    <field x="12"/>
  </rowFields>
  <rowItems count="4">
    <i>
      <x/>
    </i>
    <i>
      <x v="1"/>
    </i>
    <i>
      <x v="2"/>
    </i>
    <i t="grand">
      <x/>
    </i>
  </rowItems>
  <colItems count="1">
    <i/>
  </colItems>
  <dataFields count="1">
    <dataField name="Count of account_id" fld="0" subtotal="count" baseField="0" baseItem="0"/>
  </dataField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061694-FA9D-4D55-A456-2F32624F4629}" autoFormatId="16" applyNumberFormats="0" applyBorderFormats="0" applyFontFormats="0" applyPatternFormats="0" applyAlignmentFormats="0" applyWidthHeightFormats="0">
  <queryTableRefresh nextId="17" unboundColumnsRight="2">
    <queryTableFields count="15">
      <queryTableField id="1" name="account_id" tableColumnId="1"/>
      <queryTableField id="2" name="account_name" tableColumnId="2"/>
      <queryTableField id="3" name="industry" tableColumnId="3"/>
      <queryTableField id="4" name="country" tableColumnId="4"/>
      <queryTableField id="5" name="plan_tier" tableColumnId="5"/>
      <queryTableField id="6" name="seats" tableColumnId="6"/>
      <queryTableField id="7" name="churn_flag" tableColumnId="7"/>
      <queryTableField id="8" name="total_mrr" tableColumnId="8"/>
      <queryTableField id="9" name="total_arr" tableColumnId="9"/>
      <queryTableField id="10" name="ticket_count" tableColumnId="10"/>
      <queryTableField id="11" name="avg_satisfaction" tableColumnId="11"/>
      <queryTableField id="12" name="risk_score" tableColumnId="12"/>
      <queryTableField id="13" name="risk_category"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B55BFD83-836C-438B-9197-E9168474A57C}" sourceName="industry">
  <pivotTables>
    <pivotTable tabId="6" name="PivotTable2"/>
    <pivotTable tabId="6" name="PivotTable5"/>
    <pivotTable tabId="6" name="PivotTable6"/>
    <pivotTable tabId="6" name="PivotTable7"/>
  </pivotTables>
  <data>
    <tabular pivotCacheId="696562331">
      <items count="5">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1" xr10:uid="{17A18148-BFFD-48BF-BD80-EA8ECBF6F3E7}" sourceName="risk_category">
  <pivotTables>
    <pivotTable tabId="6" name="PivotTable6"/>
    <pivotTable tabId="6" name="PivotTable2"/>
    <pivotTable tabId="6" name="PivotTable5"/>
    <pivotTable tabId="6" name="PivotTable7"/>
  </pivotTables>
  <data>
    <tabular pivotCacheId="6965623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ier" xr10:uid="{54705130-3A27-491B-861D-4263EC9F6220}" sourceName="plan_tier">
  <pivotTables>
    <pivotTable tabId="6" name="PivotTable5"/>
    <pivotTable tabId="6" name="PivotTable2"/>
    <pivotTable tabId="6" name="PivotTable6"/>
    <pivotTable tabId="6" name="PivotTable7"/>
  </pivotTables>
  <data>
    <tabular pivotCacheId="6965623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sutry" xr10:uid="{2B8B32CF-AA7A-4172-8F9C-0DDF16C6FA3A}" cache="Slicer_industry" caption="industry" rowHeight="241300"/>
  <slicer name="risk_category 1" xr10:uid="{065EF318-58EE-4519-8173-7B4BD6F9954E}" cache="Slicer_risk_category1" caption="risk_category" rowHeight="241300"/>
  <slicer name="plan_tier 1" xr10:uid="{92400469-20C5-49FA-914B-0B34C69BD87D}" cache="Slicer_plan_tier" caption="Plan Ti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FE774-FE58-444A-81CB-35DEB1364981}" name="tblCustomer" displayName="tblCustomer" ref="A1:O501" tableType="queryTable" totalsRowShown="0">
  <autoFilter ref="A1:O501" xr:uid="{2D9FE774-FE58-444A-81CB-35DEB1364981}"/>
  <tableColumns count="15">
    <tableColumn id="1" xr3:uid="{83B978FB-8D59-417A-B529-67F2B25AEBF5}" uniqueName="1" name="Account ID" queryTableFieldId="1" dataDxfId="12"/>
    <tableColumn id="2" xr3:uid="{CDD480A5-F0A1-4C83-A7F9-178D5AD9324E}" uniqueName="2" name="Account Name" queryTableFieldId="2" dataDxfId="11"/>
    <tableColumn id="3" xr3:uid="{EA9C1930-AB15-40A8-B2CC-D8A50CA68B2B}" uniqueName="3" name="Industry" queryTableFieldId="3" dataDxfId="10"/>
    <tableColumn id="4" xr3:uid="{760A3A81-CFFD-4766-8F81-2BBE5B0BC693}" uniqueName="4" name="Country" queryTableFieldId="4" dataDxfId="9"/>
    <tableColumn id="5" xr3:uid="{C1BE2B08-F622-4D7A-93BF-1BDF22E4FDE8}" uniqueName="5" name="Plan Tier" queryTableFieldId="5" dataDxfId="8"/>
    <tableColumn id="6" xr3:uid="{098D661B-176C-42C6-8DDD-40C768CEC949}" uniqueName="6" name="Seats" queryTableFieldId="6"/>
    <tableColumn id="7" xr3:uid="{E1BD05E1-CA22-4212-8A03-B2C220F1814D}" uniqueName="7" name="Churn Flag" queryTableFieldId="7"/>
    <tableColumn id="8" xr3:uid="{05D173E7-0362-4F00-B3AE-5C9A4B627779}" uniqueName="8" name="Monthly Revenue" queryTableFieldId="8" dataDxfId="7" dataCellStyle="Currency"/>
    <tableColumn id="9" xr3:uid="{BC254C07-1F82-4641-AB6A-FC786CD7AA57}" uniqueName="9" name="Annual Revenue" queryTableFieldId="9" dataDxfId="6" dataCellStyle="Currency"/>
    <tableColumn id="10" xr3:uid="{582B98F0-5112-497D-AA03-046753FC8BAF}" uniqueName="10" name="Ticket Count" queryTableFieldId="10"/>
    <tableColumn id="11" xr3:uid="{24C92793-D526-4D40-B65A-1EB71F4C894C}" uniqueName="11" name="Avg Satisfaction" queryTableFieldId="11"/>
    <tableColumn id="12" xr3:uid="{6697AD2B-D7D8-45ED-8B9A-FA140E76E63D}" uniqueName="12" name="Risk Score" queryTableFieldId="12"/>
    <tableColumn id="13" xr3:uid="{90ECB5D1-7AFE-4D03-91BA-ECDAE1BDE836}" uniqueName="13" name="Risk Category" queryTableFieldId="13" dataDxfId="5"/>
    <tableColumn id="14" xr3:uid="{CAFF950D-28F6-497E-98F2-4DA74A88D271}" uniqueName="14" name="Customer Segment" queryTableFieldId="14" dataDxfId="4">
      <calculatedColumnFormula>IF(tblCustomer[[#This Row],[Monthly Revenue]]&gt;=30000, "Tier 1 ", IF(tblCustomer[[#This Row],[Monthly Revenue]]&gt;= 15000,"Tier 2 ","Tier 3 "))</calculatedColumnFormula>
    </tableColumn>
    <tableColumn id="15" xr3:uid="{21A631DA-35DA-43E6-8488-20715C021053}" uniqueName="15" name="Reason Code" queryTableFieldId="15"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7F35C-FAEB-4568-B19E-EAEAA204792C}">
  <dimension ref="A3:K9"/>
  <sheetViews>
    <sheetView topLeftCell="A2" zoomScaleNormal="100" workbookViewId="0">
      <selection activeCell="F12" sqref="F12"/>
    </sheetView>
  </sheetViews>
  <sheetFormatPr defaultRowHeight="15" x14ac:dyDescent="0.25"/>
  <cols>
    <col min="1" max="1" width="13.28515625" bestFit="1" customWidth="1"/>
    <col min="2" max="2" width="18.85546875" bestFit="1" customWidth="1"/>
    <col min="3" max="3" width="11.28515625" customWidth="1"/>
    <col min="4" max="4" width="11.5703125" bestFit="1" customWidth="1"/>
    <col min="5" max="5" width="16" bestFit="1" customWidth="1"/>
    <col min="6" max="6" width="15.5703125" customWidth="1"/>
    <col min="7" max="7" width="15.140625" bestFit="1" customWidth="1"/>
    <col min="8" max="8" width="18.85546875" bestFit="1" customWidth="1"/>
    <col min="9" max="9" width="12.28515625" customWidth="1"/>
    <col min="10" max="10" width="12.5703125" bestFit="1" customWidth="1"/>
    <col min="11" max="11" width="18.85546875" bestFit="1" customWidth="1"/>
  </cols>
  <sheetData>
    <row r="3" spans="1:11" x14ac:dyDescent="0.25">
      <c r="A3" s="1" t="s">
        <v>1048</v>
      </c>
      <c r="B3" t="s">
        <v>1020</v>
      </c>
      <c r="D3" s="1" t="s">
        <v>1024</v>
      </c>
      <c r="E3" s="4" t="s">
        <v>1021</v>
      </c>
      <c r="G3" s="1" t="s">
        <v>1043</v>
      </c>
      <c r="H3" t="s">
        <v>1020</v>
      </c>
      <c r="J3" s="1" t="s">
        <v>0</v>
      </c>
      <c r="K3" t="s">
        <v>1020</v>
      </c>
    </row>
    <row r="4" spans="1:11" x14ac:dyDescent="0.25">
      <c r="A4" s="2" t="s">
        <v>27</v>
      </c>
      <c r="B4">
        <v>100</v>
      </c>
      <c r="C4" t="s">
        <v>1026</v>
      </c>
      <c r="D4" s="2" t="s">
        <v>5</v>
      </c>
      <c r="E4" s="12">
        <v>4047874</v>
      </c>
      <c r="G4" t="s">
        <v>19</v>
      </c>
      <c r="H4" s="12">
        <v>79</v>
      </c>
      <c r="J4" s="2" t="s">
        <v>1022</v>
      </c>
      <c r="K4" s="12">
        <v>390</v>
      </c>
    </row>
    <row r="5" spans="1:11" x14ac:dyDescent="0.25">
      <c r="A5" s="2" t="s">
        <v>14</v>
      </c>
      <c r="B5">
        <v>113</v>
      </c>
      <c r="D5" s="2" t="s">
        <v>22</v>
      </c>
      <c r="E5" s="12">
        <v>3322156</v>
      </c>
      <c r="G5" t="s">
        <v>11</v>
      </c>
      <c r="H5" s="12">
        <v>247</v>
      </c>
      <c r="J5" s="2" t="s">
        <v>1023</v>
      </c>
      <c r="K5" s="12">
        <v>110</v>
      </c>
    </row>
    <row r="6" spans="1:11" x14ac:dyDescent="0.25">
      <c r="A6" s="2" t="s">
        <v>3</v>
      </c>
      <c r="B6">
        <v>79</v>
      </c>
      <c r="D6" s="2" t="s">
        <v>28</v>
      </c>
      <c r="E6" s="12">
        <v>3968717</v>
      </c>
      <c r="G6" t="s">
        <v>6</v>
      </c>
      <c r="H6" s="12">
        <v>174</v>
      </c>
      <c r="J6" s="2" t="s">
        <v>1019</v>
      </c>
      <c r="K6" s="12">
        <v>500</v>
      </c>
    </row>
    <row r="7" spans="1:11" x14ac:dyDescent="0.25">
      <c r="A7" s="2" t="s">
        <v>9</v>
      </c>
      <c r="B7">
        <v>112</v>
      </c>
      <c r="D7" s="2" t="s">
        <v>1019</v>
      </c>
      <c r="E7" s="12">
        <v>11338747</v>
      </c>
      <c r="G7" t="s">
        <v>1019</v>
      </c>
      <c r="H7" s="12">
        <v>500</v>
      </c>
    </row>
    <row r="8" spans="1:11" x14ac:dyDescent="0.25">
      <c r="A8" s="2" t="s">
        <v>17</v>
      </c>
      <c r="B8">
        <v>96</v>
      </c>
    </row>
    <row r="9" spans="1:11" x14ac:dyDescent="0.25">
      <c r="A9" s="2" t="s">
        <v>1019</v>
      </c>
      <c r="B9">
        <v>500</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4757-F5DC-4B2A-8E7A-C0BB60B71967}">
  <dimension ref="D1:W10"/>
  <sheetViews>
    <sheetView tabSelected="1" zoomScale="65" workbookViewId="0">
      <selection activeCell="AA31" sqref="AA31"/>
    </sheetView>
  </sheetViews>
  <sheetFormatPr defaultRowHeight="15" x14ac:dyDescent="0.25"/>
  <cols>
    <col min="1" max="1" width="13.28515625" bestFit="1" customWidth="1"/>
    <col min="2" max="2" width="18.85546875" bestFit="1" customWidth="1"/>
    <col min="4" max="4" width="9.140625" customWidth="1"/>
    <col min="8" max="8" width="21.7109375" customWidth="1"/>
    <col min="16" max="16" width="17.7109375" bestFit="1" customWidth="1"/>
    <col min="23" max="23" width="13.28515625" bestFit="1" customWidth="1"/>
  </cols>
  <sheetData>
    <row r="1" spans="4:23" s="5" customFormat="1" ht="39.75" customHeight="1" x14ac:dyDescent="0.45">
      <c r="E1" s="6" t="s">
        <v>1047</v>
      </c>
      <c r="F1" s="7"/>
      <c r="K1" s="9"/>
    </row>
    <row r="2" spans="4:23" ht="33.75" customHeight="1" x14ac:dyDescent="0.25">
      <c r="D2" s="8">
        <f>COUNTA(Customer_Health_Score!A2:A501)</f>
        <v>500</v>
      </c>
      <c r="H2">
        <f>COUNTIF(Customer_Health_Score!G2:G501,TRUE)/COUNTA(Customer_Health_Score!A2:A501)</f>
        <v>0.22</v>
      </c>
      <c r="L2">
        <f>COUNTIF(Customer_Health_Score!M2:M501,"High Risk")</f>
        <v>79</v>
      </c>
      <c r="P2" s="10">
        <f>SUMIF(Customer_Health_Score!M2:M501,"High Risk",Customer_Health_Score!I2:I501)</f>
        <v>21874656</v>
      </c>
      <c r="W2" s="11">
        <f>AVERAGE(tblCustomer[[#All],[Avg Satisfaction]])</f>
        <v>2.3343800000000012</v>
      </c>
    </row>
    <row r="10" spans="4:23" x14ac:dyDescent="0.25">
      <c r="K10" t="s">
        <v>1026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DC62-8955-4CEF-B9AC-7015305B707A}">
  <dimension ref="A1:O501"/>
  <sheetViews>
    <sheetView zoomScale="81" workbookViewId="0">
      <pane ySplit="1" topLeftCell="A2" activePane="bottomLeft" state="frozen"/>
      <selection activeCell="B1" sqref="B1"/>
      <selection pane="bottomLeft" activeCell="G494" sqref="G494"/>
    </sheetView>
  </sheetViews>
  <sheetFormatPr defaultRowHeight="15" x14ac:dyDescent="0.25"/>
  <cols>
    <col min="1" max="1" width="13.85546875" bestFit="1" customWidth="1"/>
    <col min="2" max="2" width="22.85546875" customWidth="1"/>
    <col min="3" max="3" width="13.28515625" bestFit="1" customWidth="1"/>
    <col min="4" max="4" width="10" bestFit="1" customWidth="1"/>
    <col min="5" max="5" width="11.28515625" bestFit="1" customWidth="1"/>
    <col min="6" max="6" width="7.85546875" bestFit="1" customWidth="1"/>
    <col min="7" max="7" width="12.5703125" bestFit="1" customWidth="1"/>
    <col min="8" max="8" width="19.5703125" style="3" bestFit="1" customWidth="1"/>
    <col min="9" max="9" width="18.28515625" style="3" bestFit="1" customWidth="1"/>
    <col min="10" max="10" width="14.7109375" customWidth="1"/>
    <col min="11" max="11" width="17.5703125" bestFit="1" customWidth="1"/>
    <col min="12" max="12" width="13.28515625" customWidth="1"/>
    <col min="13" max="13" width="19.28515625" customWidth="1"/>
    <col min="14" max="14" width="27.140625" customWidth="1"/>
    <col min="15" max="15" width="16.5703125" customWidth="1"/>
  </cols>
  <sheetData>
    <row r="1" spans="1:15" x14ac:dyDescent="0.25">
      <c r="A1" t="s">
        <v>1036</v>
      </c>
      <c r="B1" t="s">
        <v>1037</v>
      </c>
      <c r="C1" t="s">
        <v>1025</v>
      </c>
      <c r="D1" t="s">
        <v>1034</v>
      </c>
      <c r="E1" t="s">
        <v>1038</v>
      </c>
      <c r="F1" t="s">
        <v>1033</v>
      </c>
      <c r="G1" t="s">
        <v>1039</v>
      </c>
      <c r="H1" s="3" t="s">
        <v>1045</v>
      </c>
      <c r="I1" s="3" t="s">
        <v>1046</v>
      </c>
      <c r="J1" t="s">
        <v>1040</v>
      </c>
      <c r="K1" t="s">
        <v>1041</v>
      </c>
      <c r="L1" t="s">
        <v>1042</v>
      </c>
      <c r="M1" t="s">
        <v>1043</v>
      </c>
      <c r="N1" t="s">
        <v>1044</v>
      </c>
      <c r="O1" t="s">
        <v>1035</v>
      </c>
    </row>
    <row r="2" spans="1:15" x14ac:dyDescent="0.25">
      <c r="A2" t="s">
        <v>1</v>
      </c>
      <c r="B2" t="s">
        <v>2</v>
      </c>
      <c r="C2" t="s">
        <v>3</v>
      </c>
      <c r="D2" t="s">
        <v>4</v>
      </c>
      <c r="E2" t="s">
        <v>5</v>
      </c>
      <c r="F2">
        <v>9</v>
      </c>
      <c r="G2" t="b">
        <v>0</v>
      </c>
      <c r="H2" s="3">
        <v>12603</v>
      </c>
      <c r="I2" s="3">
        <v>151236</v>
      </c>
      <c r="J2">
        <v>2</v>
      </c>
      <c r="K2">
        <v>1.5</v>
      </c>
      <c r="L2">
        <v>45</v>
      </c>
      <c r="M2" t="s">
        <v>6</v>
      </c>
      <c r="N2" t="str">
        <f>IF(tblCustomer[[#This Row],[Monthly Revenue]]&gt;=30000, "Tier 1 ", IF(tblCustomer[[#This Row],[Monthly Revenue]]&gt;= 15000,"Tier 2 ","Tier 3 "))</f>
        <v xml:space="preserve">Tier 3 </v>
      </c>
      <c r="O2" t="s">
        <v>1027</v>
      </c>
    </row>
    <row r="3" spans="1:15" x14ac:dyDescent="0.25">
      <c r="A3" t="s">
        <v>7</v>
      </c>
      <c r="B3" t="s">
        <v>8</v>
      </c>
      <c r="C3" t="s">
        <v>9</v>
      </c>
      <c r="D3" t="s">
        <v>10</v>
      </c>
      <c r="E3" t="s">
        <v>5</v>
      </c>
      <c r="F3">
        <v>18</v>
      </c>
      <c r="G3" t="b">
        <v>1</v>
      </c>
      <c r="H3" s="3">
        <v>10004</v>
      </c>
      <c r="I3" s="3">
        <v>120048</v>
      </c>
      <c r="J3">
        <v>3</v>
      </c>
      <c r="K3">
        <v>4</v>
      </c>
      <c r="L3">
        <v>0</v>
      </c>
      <c r="M3" t="s">
        <v>11</v>
      </c>
      <c r="N3" t="str">
        <f>IF(tblCustomer[[#This Row],[Monthly Revenue]]&gt;=30000, "Tier 1 ", IF(tblCustomer[[#This Row],[Monthly Revenue]]&gt;= 15000,"Tier 2 ","Tier 3 "))</f>
        <v xml:space="preserve">Tier 3 </v>
      </c>
      <c r="O3" t="s">
        <v>1028</v>
      </c>
    </row>
    <row r="4" spans="1:15" x14ac:dyDescent="0.25">
      <c r="A4" t="s">
        <v>12</v>
      </c>
      <c r="B4" t="s">
        <v>13</v>
      </c>
      <c r="C4" t="s">
        <v>14</v>
      </c>
      <c r="D4" t="s">
        <v>4</v>
      </c>
      <c r="E4" t="s">
        <v>5</v>
      </c>
      <c r="F4">
        <v>1</v>
      </c>
      <c r="G4" t="b">
        <v>0</v>
      </c>
      <c r="H4" s="3">
        <v>18286</v>
      </c>
      <c r="I4" s="3">
        <v>219432</v>
      </c>
      <c r="J4">
        <v>3</v>
      </c>
      <c r="K4">
        <v>4.67</v>
      </c>
      <c r="L4">
        <v>30</v>
      </c>
      <c r="M4" t="s">
        <v>11</v>
      </c>
      <c r="N4" t="str">
        <f>IF(tblCustomer[[#This Row],[Monthly Revenue]]&gt;=30000, "Tier 1 ", IF(tblCustomer[[#This Row],[Monthly Revenue]]&gt;= 15000,"Tier 2 ","Tier 3 "))</f>
        <v xml:space="preserve">Tier 2 </v>
      </c>
      <c r="O4" t="s">
        <v>1029</v>
      </c>
    </row>
    <row r="5" spans="1:15" x14ac:dyDescent="0.25">
      <c r="A5" t="s">
        <v>15</v>
      </c>
      <c r="B5" t="s">
        <v>16</v>
      </c>
      <c r="C5" t="s">
        <v>17</v>
      </c>
      <c r="D5" t="s">
        <v>18</v>
      </c>
      <c r="E5" t="s">
        <v>5</v>
      </c>
      <c r="F5">
        <v>24</v>
      </c>
      <c r="G5" t="b">
        <v>0</v>
      </c>
      <c r="H5" s="3">
        <v>9275</v>
      </c>
      <c r="I5" s="3">
        <v>111300</v>
      </c>
      <c r="J5">
        <v>2</v>
      </c>
      <c r="K5">
        <v>0</v>
      </c>
      <c r="L5">
        <v>60</v>
      </c>
      <c r="M5" t="s">
        <v>19</v>
      </c>
      <c r="N5" t="str">
        <f>IF(tblCustomer[[#This Row],[Monthly Revenue]]&gt;=30000, "Tier 1 ", IF(tblCustomer[[#This Row],[Monthly Revenue]]&gt;= 15000,"Tier 2 ","Tier 3 "))</f>
        <v xml:space="preserve">Tier 3 </v>
      </c>
      <c r="O5" t="s">
        <v>1029</v>
      </c>
    </row>
    <row r="6" spans="1:15" x14ac:dyDescent="0.25">
      <c r="A6" t="s">
        <v>20</v>
      </c>
      <c r="B6" t="s">
        <v>21</v>
      </c>
      <c r="C6" t="s">
        <v>17</v>
      </c>
      <c r="D6" t="s">
        <v>4</v>
      </c>
      <c r="E6" t="s">
        <v>22</v>
      </c>
      <c r="F6">
        <v>35</v>
      </c>
      <c r="G6" t="b">
        <v>1</v>
      </c>
      <c r="H6" s="3">
        <v>48761</v>
      </c>
      <c r="I6" s="3">
        <v>585132</v>
      </c>
      <c r="J6">
        <v>7</v>
      </c>
      <c r="K6">
        <v>2.71</v>
      </c>
      <c r="L6">
        <v>40</v>
      </c>
      <c r="M6" t="s">
        <v>6</v>
      </c>
      <c r="N6" t="str">
        <f>IF(tblCustomer[[#This Row],[Monthly Revenue]]&gt;=30000, "Tier 1 ", IF(tblCustomer[[#This Row],[Monthly Revenue]]&gt;= 15000,"Tier 2 ","Tier 3 "))</f>
        <v xml:space="preserve">Tier 1 </v>
      </c>
      <c r="O6" t="s">
        <v>1030</v>
      </c>
    </row>
    <row r="7" spans="1:15" x14ac:dyDescent="0.25">
      <c r="A7" t="s">
        <v>23</v>
      </c>
      <c r="B7" t="s">
        <v>24</v>
      </c>
      <c r="C7" t="s">
        <v>3</v>
      </c>
      <c r="D7" t="s">
        <v>10</v>
      </c>
      <c r="E7" t="s">
        <v>22</v>
      </c>
      <c r="F7">
        <v>4</v>
      </c>
      <c r="G7" t="b">
        <v>0</v>
      </c>
      <c r="H7" s="3">
        <v>16810</v>
      </c>
      <c r="I7" s="3">
        <v>201720</v>
      </c>
      <c r="J7">
        <v>4</v>
      </c>
      <c r="K7">
        <v>0.75</v>
      </c>
      <c r="L7">
        <v>60</v>
      </c>
      <c r="M7" t="s">
        <v>19</v>
      </c>
      <c r="N7" t="str">
        <f>IF(tblCustomer[[#This Row],[Monthly Revenue]]&gt;=30000, "Tier 1 ", IF(tblCustomer[[#This Row],[Monthly Revenue]]&gt;= 15000,"Tier 2 ","Tier 3 "))</f>
        <v xml:space="preserve">Tier 2 </v>
      </c>
      <c r="O7" t="s">
        <v>1031</v>
      </c>
    </row>
    <row r="8" spans="1:15" x14ac:dyDescent="0.25">
      <c r="A8" t="s">
        <v>25</v>
      </c>
      <c r="B8" t="s">
        <v>26</v>
      </c>
      <c r="C8" t="s">
        <v>27</v>
      </c>
      <c r="D8" t="s">
        <v>4</v>
      </c>
      <c r="E8" t="s">
        <v>28</v>
      </c>
      <c r="F8">
        <v>11</v>
      </c>
      <c r="G8" t="b">
        <v>0</v>
      </c>
      <c r="H8" s="3">
        <v>16633</v>
      </c>
      <c r="I8" s="3">
        <v>199596</v>
      </c>
      <c r="J8">
        <v>6</v>
      </c>
      <c r="K8">
        <v>3.17</v>
      </c>
      <c r="L8">
        <v>10</v>
      </c>
      <c r="M8" t="s">
        <v>11</v>
      </c>
      <c r="N8" t="str">
        <f>IF(tblCustomer[[#This Row],[Monthly Revenue]]&gt;=30000, "Tier 1 ", IF(tblCustomer[[#This Row],[Monthly Revenue]]&gt;= 15000,"Tier 2 ","Tier 3 "))</f>
        <v xml:space="preserve">Tier 2 </v>
      </c>
      <c r="O8" t="s">
        <v>1031</v>
      </c>
    </row>
    <row r="9" spans="1:15" x14ac:dyDescent="0.25">
      <c r="A9" t="s">
        <v>29</v>
      </c>
      <c r="B9" t="s">
        <v>30</v>
      </c>
      <c r="C9" t="s">
        <v>3</v>
      </c>
      <c r="D9" t="s">
        <v>4</v>
      </c>
      <c r="E9" t="s">
        <v>28</v>
      </c>
      <c r="F9">
        <v>3</v>
      </c>
      <c r="G9" t="b">
        <v>0</v>
      </c>
      <c r="H9" s="3">
        <v>13048</v>
      </c>
      <c r="I9" s="3">
        <v>156576</v>
      </c>
      <c r="J9">
        <v>3</v>
      </c>
      <c r="K9">
        <v>0</v>
      </c>
      <c r="L9">
        <v>60</v>
      </c>
      <c r="M9" t="s">
        <v>19</v>
      </c>
      <c r="N9" t="str">
        <f>IF(tblCustomer[[#This Row],[Monthly Revenue]]&gt;=30000, "Tier 1 ", IF(tblCustomer[[#This Row],[Monthly Revenue]]&gt;= 15000,"Tier 2 ","Tier 3 "))</f>
        <v xml:space="preserve">Tier 3 </v>
      </c>
      <c r="O9" t="s">
        <v>1029</v>
      </c>
    </row>
    <row r="10" spans="1:15" x14ac:dyDescent="0.25">
      <c r="A10" t="s">
        <v>31</v>
      </c>
      <c r="B10" t="s">
        <v>32</v>
      </c>
      <c r="C10" t="s">
        <v>27</v>
      </c>
      <c r="D10" t="s">
        <v>33</v>
      </c>
      <c r="E10" t="s">
        <v>22</v>
      </c>
      <c r="F10">
        <v>12</v>
      </c>
      <c r="G10" t="b">
        <v>1</v>
      </c>
      <c r="H10" s="3">
        <v>23057</v>
      </c>
      <c r="I10" s="3">
        <v>276684</v>
      </c>
      <c r="J10">
        <v>4</v>
      </c>
      <c r="K10">
        <v>2.75</v>
      </c>
      <c r="L10">
        <v>30</v>
      </c>
      <c r="M10" t="s">
        <v>11</v>
      </c>
      <c r="N10" t="str">
        <f>IF(tblCustomer[[#This Row],[Monthly Revenue]]&gt;=30000, "Tier 1 ", IF(tblCustomer[[#This Row],[Monthly Revenue]]&gt;= 15000,"Tier 2 ","Tier 3 "))</f>
        <v xml:space="preserve">Tier 2 </v>
      </c>
      <c r="O10" t="s">
        <v>1031</v>
      </c>
    </row>
    <row r="11" spans="1:15" x14ac:dyDescent="0.25">
      <c r="A11" t="s">
        <v>34</v>
      </c>
      <c r="B11" t="s">
        <v>35</v>
      </c>
      <c r="C11" t="s">
        <v>14</v>
      </c>
      <c r="D11" t="s">
        <v>4</v>
      </c>
      <c r="E11" t="s">
        <v>22</v>
      </c>
      <c r="F11">
        <v>14</v>
      </c>
      <c r="G11" t="b">
        <v>1</v>
      </c>
      <c r="H11" s="3">
        <v>8787</v>
      </c>
      <c r="I11" s="3">
        <v>105444</v>
      </c>
      <c r="J11">
        <v>3</v>
      </c>
      <c r="K11">
        <v>2.33</v>
      </c>
      <c r="L11">
        <v>15</v>
      </c>
      <c r="M11" t="s">
        <v>11</v>
      </c>
      <c r="N11" t="str">
        <f>IF(tblCustomer[[#This Row],[Monthly Revenue]]&gt;=30000, "Tier 1 ", IF(tblCustomer[[#This Row],[Monthly Revenue]]&gt;= 15000,"Tier 2 ","Tier 3 "))</f>
        <v xml:space="preserve">Tier 3 </v>
      </c>
      <c r="O11" t="s">
        <v>1031</v>
      </c>
    </row>
    <row r="12" spans="1:15" x14ac:dyDescent="0.25">
      <c r="A12" t="s">
        <v>36</v>
      </c>
      <c r="B12" t="s">
        <v>37</v>
      </c>
      <c r="C12" t="s">
        <v>27</v>
      </c>
      <c r="D12" t="s">
        <v>4</v>
      </c>
      <c r="E12" t="s">
        <v>5</v>
      </c>
      <c r="F12">
        <v>18</v>
      </c>
      <c r="G12" t="b">
        <v>1</v>
      </c>
      <c r="H12" s="3">
        <v>32571</v>
      </c>
      <c r="I12" s="3">
        <v>390852</v>
      </c>
      <c r="J12">
        <v>3</v>
      </c>
      <c r="K12">
        <v>1.67</v>
      </c>
      <c r="L12">
        <v>45</v>
      </c>
      <c r="M12" t="s">
        <v>6</v>
      </c>
      <c r="N12" t="str">
        <f>IF(tblCustomer[[#This Row],[Monthly Revenue]]&gt;=30000, "Tier 1 ", IF(tblCustomer[[#This Row],[Monthly Revenue]]&gt;= 15000,"Tier 2 ","Tier 3 "))</f>
        <v xml:space="preserve">Tier 1 </v>
      </c>
      <c r="O12" t="s">
        <v>1031</v>
      </c>
    </row>
    <row r="13" spans="1:15" x14ac:dyDescent="0.25">
      <c r="A13" t="s">
        <v>38</v>
      </c>
      <c r="B13" t="s">
        <v>39</v>
      </c>
      <c r="C13" t="s">
        <v>9</v>
      </c>
      <c r="D13" t="s">
        <v>10</v>
      </c>
      <c r="E13" t="s">
        <v>5</v>
      </c>
      <c r="F13">
        <v>59</v>
      </c>
      <c r="G13" t="b">
        <v>0</v>
      </c>
      <c r="H13" s="3">
        <v>43247</v>
      </c>
      <c r="I13" s="3">
        <v>518964</v>
      </c>
      <c r="J13">
        <v>2</v>
      </c>
      <c r="K13">
        <v>5</v>
      </c>
      <c r="L13">
        <v>0</v>
      </c>
      <c r="M13" t="s">
        <v>11</v>
      </c>
      <c r="N13" t="str">
        <f>IF(tblCustomer[[#This Row],[Monthly Revenue]]&gt;=30000, "Tier 1 ", IF(tblCustomer[[#This Row],[Monthly Revenue]]&gt;= 15000,"Tier 2 ","Tier 3 "))</f>
        <v xml:space="preserve">Tier 1 </v>
      </c>
      <c r="O13" t="s">
        <v>1030</v>
      </c>
    </row>
    <row r="14" spans="1:15" x14ac:dyDescent="0.25">
      <c r="A14" t="s">
        <v>40</v>
      </c>
      <c r="B14" t="s">
        <v>41</v>
      </c>
      <c r="C14" t="s">
        <v>14</v>
      </c>
      <c r="D14" t="s">
        <v>4</v>
      </c>
      <c r="E14" t="s">
        <v>5</v>
      </c>
      <c r="F14">
        <v>7</v>
      </c>
      <c r="G14" t="b">
        <v>0</v>
      </c>
      <c r="H14" s="3">
        <v>16242</v>
      </c>
      <c r="I14" s="3">
        <v>194904</v>
      </c>
      <c r="J14">
        <v>3</v>
      </c>
      <c r="K14">
        <v>1.67</v>
      </c>
      <c r="L14">
        <v>15</v>
      </c>
      <c r="M14" t="s">
        <v>11</v>
      </c>
      <c r="N14" t="str">
        <f>IF(tblCustomer[[#This Row],[Monthly Revenue]]&gt;=30000, "Tier 1 ", IF(tblCustomer[[#This Row],[Monthly Revenue]]&gt;= 15000,"Tier 2 ","Tier 3 "))</f>
        <v xml:space="preserve">Tier 2 </v>
      </c>
      <c r="O14" t="s">
        <v>1032</v>
      </c>
    </row>
    <row r="15" spans="1:15" x14ac:dyDescent="0.25">
      <c r="A15" t="s">
        <v>42</v>
      </c>
      <c r="B15" t="s">
        <v>43</v>
      </c>
      <c r="C15" t="s">
        <v>27</v>
      </c>
      <c r="D15" t="s">
        <v>4</v>
      </c>
      <c r="E15" t="s">
        <v>22</v>
      </c>
      <c r="F15">
        <v>11</v>
      </c>
      <c r="G15" t="b">
        <v>0</v>
      </c>
      <c r="H15" s="3">
        <v>23432</v>
      </c>
      <c r="I15" s="3">
        <v>281184</v>
      </c>
      <c r="J15">
        <v>4</v>
      </c>
      <c r="K15">
        <v>1</v>
      </c>
      <c r="L15">
        <v>60</v>
      </c>
      <c r="M15" t="s">
        <v>19</v>
      </c>
      <c r="N15" t="str">
        <f>IF(tblCustomer[[#This Row],[Monthly Revenue]]&gt;=30000, "Tier 1 ", IF(tblCustomer[[#This Row],[Monthly Revenue]]&gt;= 15000,"Tier 2 ","Tier 3 "))</f>
        <v xml:space="preserve">Tier 2 </v>
      </c>
      <c r="O15" t="s">
        <v>1031</v>
      </c>
    </row>
    <row r="16" spans="1:15" x14ac:dyDescent="0.25">
      <c r="A16" t="s">
        <v>44</v>
      </c>
      <c r="B16" t="s">
        <v>45</v>
      </c>
      <c r="C16" t="s">
        <v>3</v>
      </c>
      <c r="D16" t="s">
        <v>18</v>
      </c>
      <c r="E16" t="s">
        <v>22</v>
      </c>
      <c r="F16">
        <v>1</v>
      </c>
      <c r="G16" t="b">
        <v>0</v>
      </c>
      <c r="H16" s="3">
        <v>29407</v>
      </c>
      <c r="I16" s="3">
        <v>352884</v>
      </c>
      <c r="J16">
        <v>2</v>
      </c>
      <c r="K16">
        <v>1.5</v>
      </c>
      <c r="L16">
        <v>45</v>
      </c>
      <c r="M16" t="s">
        <v>6</v>
      </c>
      <c r="N16" t="str">
        <f>IF(tblCustomer[[#This Row],[Monthly Revenue]]&gt;=30000, "Tier 1 ", IF(tblCustomer[[#This Row],[Monthly Revenue]]&gt;= 15000,"Tier 2 ","Tier 3 "))</f>
        <v xml:space="preserve">Tier 2 </v>
      </c>
      <c r="O16" t="s">
        <v>1027</v>
      </c>
    </row>
    <row r="17" spans="1:15" x14ac:dyDescent="0.25">
      <c r="A17" t="s">
        <v>46</v>
      </c>
      <c r="B17" t="s">
        <v>47</v>
      </c>
      <c r="C17" t="s">
        <v>9</v>
      </c>
      <c r="D17" t="s">
        <v>4</v>
      </c>
      <c r="E17" t="s">
        <v>22</v>
      </c>
      <c r="F17">
        <v>21</v>
      </c>
      <c r="G17" t="b">
        <v>0</v>
      </c>
      <c r="H17" s="3">
        <v>27746</v>
      </c>
      <c r="I17" s="3">
        <v>332952</v>
      </c>
      <c r="J17">
        <v>2</v>
      </c>
      <c r="K17">
        <v>2</v>
      </c>
      <c r="L17">
        <v>45</v>
      </c>
      <c r="M17" t="s">
        <v>6</v>
      </c>
      <c r="N17" t="str">
        <f>IF(tblCustomer[[#This Row],[Monthly Revenue]]&gt;=30000, "Tier 1 ", IF(tblCustomer[[#This Row],[Monthly Revenue]]&gt;= 15000,"Tier 2 ","Tier 3 "))</f>
        <v xml:space="preserve">Tier 2 </v>
      </c>
      <c r="O17" t="s">
        <v>1027</v>
      </c>
    </row>
    <row r="18" spans="1:15" x14ac:dyDescent="0.25">
      <c r="A18" t="s">
        <v>48</v>
      </c>
      <c r="B18" t="s">
        <v>49</v>
      </c>
      <c r="C18" t="s">
        <v>17</v>
      </c>
      <c r="D18" t="s">
        <v>4</v>
      </c>
      <c r="E18" t="s">
        <v>5</v>
      </c>
      <c r="F18">
        <v>15</v>
      </c>
      <c r="G18" t="b">
        <v>0</v>
      </c>
      <c r="H18" s="3">
        <v>13266</v>
      </c>
      <c r="I18" s="3">
        <v>159192</v>
      </c>
      <c r="J18">
        <v>6</v>
      </c>
      <c r="K18">
        <v>2.83</v>
      </c>
      <c r="L18">
        <v>40</v>
      </c>
      <c r="M18" t="s">
        <v>6</v>
      </c>
      <c r="N18" t="str">
        <f>IF(tblCustomer[[#This Row],[Monthly Revenue]]&gt;=30000, "Tier 1 ", IF(tblCustomer[[#This Row],[Monthly Revenue]]&gt;= 15000,"Tier 2 ","Tier 3 "))</f>
        <v xml:space="preserve">Tier 3 </v>
      </c>
      <c r="O18" t="s">
        <v>1029</v>
      </c>
    </row>
    <row r="19" spans="1:15" x14ac:dyDescent="0.25">
      <c r="A19" t="s">
        <v>50</v>
      </c>
      <c r="B19" t="s">
        <v>51</v>
      </c>
      <c r="C19" t="s">
        <v>3</v>
      </c>
      <c r="D19" t="s">
        <v>33</v>
      </c>
      <c r="E19" t="s">
        <v>28</v>
      </c>
      <c r="F19">
        <v>29</v>
      </c>
      <c r="G19" t="b">
        <v>0</v>
      </c>
      <c r="H19" s="3">
        <v>11858</v>
      </c>
      <c r="I19" s="3">
        <v>142296</v>
      </c>
      <c r="J19">
        <v>6</v>
      </c>
      <c r="K19">
        <v>1.17</v>
      </c>
      <c r="L19">
        <v>40</v>
      </c>
      <c r="M19" t="s">
        <v>6</v>
      </c>
      <c r="N19" t="str">
        <f>IF(tblCustomer[[#This Row],[Monthly Revenue]]&gt;=30000, "Tier 1 ", IF(tblCustomer[[#This Row],[Monthly Revenue]]&gt;= 15000,"Tier 2 ","Tier 3 "))</f>
        <v xml:space="preserve">Tier 3 </v>
      </c>
      <c r="O19" t="s">
        <v>1028</v>
      </c>
    </row>
    <row r="20" spans="1:15" x14ac:dyDescent="0.25">
      <c r="A20" t="s">
        <v>52</v>
      </c>
      <c r="B20" t="s">
        <v>53</v>
      </c>
      <c r="C20" t="s">
        <v>9</v>
      </c>
      <c r="D20" t="s">
        <v>54</v>
      </c>
      <c r="E20" t="s">
        <v>22</v>
      </c>
      <c r="F20">
        <v>18</v>
      </c>
      <c r="G20" t="b">
        <v>1</v>
      </c>
      <c r="H20" s="3">
        <v>14646</v>
      </c>
      <c r="I20" s="3">
        <v>175752</v>
      </c>
      <c r="J20">
        <v>5</v>
      </c>
      <c r="K20">
        <v>3.6</v>
      </c>
      <c r="L20">
        <v>10</v>
      </c>
      <c r="M20" t="s">
        <v>11</v>
      </c>
      <c r="N20" t="str">
        <f>IF(tblCustomer[[#This Row],[Monthly Revenue]]&gt;=30000, "Tier 1 ", IF(tblCustomer[[#This Row],[Monthly Revenue]]&gt;= 15000,"Tier 2 ","Tier 3 "))</f>
        <v xml:space="preserve">Tier 3 </v>
      </c>
      <c r="O20" t="s">
        <v>1028</v>
      </c>
    </row>
    <row r="21" spans="1:15" x14ac:dyDescent="0.25">
      <c r="A21" t="s">
        <v>55</v>
      </c>
      <c r="B21" t="s">
        <v>56</v>
      </c>
      <c r="C21" t="s">
        <v>9</v>
      </c>
      <c r="D21" t="s">
        <v>18</v>
      </c>
      <c r="E21" t="s">
        <v>22</v>
      </c>
      <c r="F21">
        <v>4</v>
      </c>
      <c r="G21" t="b">
        <v>0</v>
      </c>
      <c r="H21" s="3">
        <v>9299</v>
      </c>
      <c r="I21" s="3">
        <v>111588</v>
      </c>
      <c r="J21">
        <v>3</v>
      </c>
      <c r="K21">
        <v>2.67</v>
      </c>
      <c r="L21">
        <v>30</v>
      </c>
      <c r="M21" t="s">
        <v>11</v>
      </c>
      <c r="N21" t="str">
        <f>IF(tblCustomer[[#This Row],[Monthly Revenue]]&gt;=30000, "Tier 1 ", IF(tblCustomer[[#This Row],[Monthly Revenue]]&gt;= 15000,"Tier 2 ","Tier 3 "))</f>
        <v xml:space="preserve">Tier 3 </v>
      </c>
      <c r="O21" t="s">
        <v>1027</v>
      </c>
    </row>
    <row r="22" spans="1:15" x14ac:dyDescent="0.25">
      <c r="A22" t="s">
        <v>57</v>
      </c>
      <c r="B22" t="s">
        <v>58</v>
      </c>
      <c r="C22" t="s">
        <v>9</v>
      </c>
      <c r="D22" t="s">
        <v>4</v>
      </c>
      <c r="E22" t="s">
        <v>22</v>
      </c>
      <c r="F22">
        <v>9</v>
      </c>
      <c r="G22" t="b">
        <v>0</v>
      </c>
      <c r="H22" s="3">
        <v>11844</v>
      </c>
      <c r="I22" s="3">
        <v>142128</v>
      </c>
      <c r="J22">
        <v>4</v>
      </c>
      <c r="K22">
        <v>3.5</v>
      </c>
      <c r="L22">
        <v>30</v>
      </c>
      <c r="M22" t="s">
        <v>11</v>
      </c>
      <c r="N22" t="str">
        <f>IF(tblCustomer[[#This Row],[Monthly Revenue]]&gt;=30000, "Tier 1 ", IF(tblCustomer[[#This Row],[Monthly Revenue]]&gt;= 15000,"Tier 2 ","Tier 3 "))</f>
        <v xml:space="preserve">Tier 3 </v>
      </c>
      <c r="O22" t="s">
        <v>1032</v>
      </c>
    </row>
    <row r="23" spans="1:15" x14ac:dyDescent="0.25">
      <c r="A23" t="s">
        <v>59</v>
      </c>
      <c r="B23" t="s">
        <v>60</v>
      </c>
      <c r="C23" t="s">
        <v>17</v>
      </c>
      <c r="D23" t="s">
        <v>4</v>
      </c>
      <c r="E23" t="s">
        <v>28</v>
      </c>
      <c r="F23">
        <v>8</v>
      </c>
      <c r="G23" t="b">
        <v>0</v>
      </c>
      <c r="H23" s="3">
        <v>5175</v>
      </c>
      <c r="I23" s="3">
        <v>62100</v>
      </c>
      <c r="J23">
        <v>9</v>
      </c>
      <c r="K23">
        <v>2.2200000000000002</v>
      </c>
      <c r="L23">
        <v>35</v>
      </c>
      <c r="M23" t="s">
        <v>6</v>
      </c>
      <c r="N23" t="str">
        <f>IF(tblCustomer[[#This Row],[Monthly Revenue]]&gt;=30000, "Tier 1 ", IF(tblCustomer[[#This Row],[Monthly Revenue]]&gt;= 15000,"Tier 2 ","Tier 3 "))</f>
        <v xml:space="preserve">Tier 3 </v>
      </c>
      <c r="O23" t="s">
        <v>1031</v>
      </c>
    </row>
    <row r="24" spans="1:15" x14ac:dyDescent="0.25">
      <c r="A24" t="s">
        <v>61</v>
      </c>
      <c r="B24" t="s">
        <v>62</v>
      </c>
      <c r="C24" t="s">
        <v>14</v>
      </c>
      <c r="D24" t="s">
        <v>4</v>
      </c>
      <c r="E24" t="s">
        <v>22</v>
      </c>
      <c r="F24">
        <v>3</v>
      </c>
      <c r="G24" t="b">
        <v>1</v>
      </c>
      <c r="H24" s="3">
        <v>36445</v>
      </c>
      <c r="I24" s="3">
        <v>437340</v>
      </c>
      <c r="J24">
        <v>3</v>
      </c>
      <c r="K24">
        <v>3.33</v>
      </c>
      <c r="L24">
        <v>30</v>
      </c>
      <c r="M24" t="s">
        <v>11</v>
      </c>
      <c r="N24" t="str">
        <f>IF(tblCustomer[[#This Row],[Monthly Revenue]]&gt;=30000, "Tier 1 ", IF(tblCustomer[[#This Row],[Monthly Revenue]]&gt;= 15000,"Tier 2 ","Tier 3 "))</f>
        <v xml:space="preserve">Tier 1 </v>
      </c>
      <c r="O24" t="s">
        <v>1028</v>
      </c>
    </row>
    <row r="25" spans="1:15" x14ac:dyDescent="0.25">
      <c r="A25" t="s">
        <v>63</v>
      </c>
      <c r="B25" t="s">
        <v>64</v>
      </c>
      <c r="C25" t="s">
        <v>3</v>
      </c>
      <c r="D25" t="s">
        <v>10</v>
      </c>
      <c r="E25" t="s">
        <v>5</v>
      </c>
      <c r="F25">
        <v>86</v>
      </c>
      <c r="G25" t="b">
        <v>1</v>
      </c>
      <c r="H25" s="3">
        <v>75938</v>
      </c>
      <c r="I25" s="3">
        <v>911256</v>
      </c>
      <c r="J25">
        <v>3</v>
      </c>
      <c r="K25">
        <v>1.33</v>
      </c>
      <c r="L25">
        <v>60</v>
      </c>
      <c r="M25" t="s">
        <v>19</v>
      </c>
      <c r="N25" t="str">
        <f>IF(tblCustomer[[#This Row],[Monthly Revenue]]&gt;=30000, "Tier 1 ", IF(tblCustomer[[#This Row],[Monthly Revenue]]&gt;= 15000,"Tier 2 ","Tier 3 "))</f>
        <v xml:space="preserve">Tier 1 </v>
      </c>
      <c r="O25" t="s">
        <v>1028</v>
      </c>
    </row>
    <row r="26" spans="1:15" x14ac:dyDescent="0.25">
      <c r="A26" t="s">
        <v>65</v>
      </c>
      <c r="B26" t="s">
        <v>66</v>
      </c>
      <c r="C26" t="s">
        <v>9</v>
      </c>
      <c r="D26" t="s">
        <v>10</v>
      </c>
      <c r="E26" t="s">
        <v>22</v>
      </c>
      <c r="F26">
        <v>1</v>
      </c>
      <c r="G26" t="b">
        <v>0</v>
      </c>
      <c r="H26" s="3">
        <v>3613</v>
      </c>
      <c r="I26" s="3">
        <v>43356</v>
      </c>
      <c r="J26">
        <v>0</v>
      </c>
      <c r="K26">
        <v>0</v>
      </c>
      <c r="L26">
        <v>30</v>
      </c>
      <c r="M26" t="s">
        <v>11</v>
      </c>
      <c r="N26" t="str">
        <f>IF(tblCustomer[[#This Row],[Monthly Revenue]]&gt;=30000, "Tier 1 ", IF(tblCustomer[[#This Row],[Monthly Revenue]]&gt;= 15000,"Tier 2 ","Tier 3 "))</f>
        <v xml:space="preserve">Tier 3 </v>
      </c>
      <c r="O26" t="s">
        <v>1031</v>
      </c>
    </row>
    <row r="27" spans="1:15" x14ac:dyDescent="0.25">
      <c r="A27" t="s">
        <v>67</v>
      </c>
      <c r="B27" t="s">
        <v>68</v>
      </c>
      <c r="C27" t="s">
        <v>14</v>
      </c>
      <c r="D27" t="s">
        <v>4</v>
      </c>
      <c r="E27" t="s">
        <v>22</v>
      </c>
      <c r="F27">
        <v>26</v>
      </c>
      <c r="G27" t="b">
        <v>1</v>
      </c>
      <c r="H27" s="3">
        <v>10162</v>
      </c>
      <c r="I27" s="3">
        <v>121944</v>
      </c>
      <c r="J27">
        <v>5</v>
      </c>
      <c r="K27">
        <v>1.8</v>
      </c>
      <c r="L27">
        <v>55</v>
      </c>
      <c r="M27" t="s">
        <v>6</v>
      </c>
      <c r="N27" t="str">
        <f>IF(tblCustomer[[#This Row],[Monthly Revenue]]&gt;=30000, "Tier 1 ", IF(tblCustomer[[#This Row],[Monthly Revenue]]&gt;= 15000,"Tier 2 ","Tier 3 "))</f>
        <v xml:space="preserve">Tier 3 </v>
      </c>
      <c r="O27" t="s">
        <v>1028</v>
      </c>
    </row>
    <row r="28" spans="1:15" x14ac:dyDescent="0.25">
      <c r="A28" t="s">
        <v>69</v>
      </c>
      <c r="B28" t="s">
        <v>70</v>
      </c>
      <c r="C28" t="s">
        <v>17</v>
      </c>
      <c r="D28" t="s">
        <v>71</v>
      </c>
      <c r="E28" t="s">
        <v>22</v>
      </c>
      <c r="F28">
        <v>8</v>
      </c>
      <c r="G28" t="b">
        <v>0</v>
      </c>
      <c r="H28" s="3">
        <v>14121</v>
      </c>
      <c r="I28" s="3">
        <v>169452</v>
      </c>
      <c r="J28">
        <v>2</v>
      </c>
      <c r="K28">
        <v>0</v>
      </c>
      <c r="L28">
        <v>30</v>
      </c>
      <c r="M28" t="s">
        <v>11</v>
      </c>
      <c r="N28" t="str">
        <f>IF(tblCustomer[[#This Row],[Monthly Revenue]]&gt;=30000, "Tier 1 ", IF(tblCustomer[[#This Row],[Monthly Revenue]]&gt;= 15000,"Tier 2 ","Tier 3 "))</f>
        <v xml:space="preserve">Tier 3 </v>
      </c>
      <c r="O28" t="s">
        <v>1031</v>
      </c>
    </row>
    <row r="29" spans="1:15" x14ac:dyDescent="0.25">
      <c r="A29" t="s">
        <v>72</v>
      </c>
      <c r="B29" t="s">
        <v>73</v>
      </c>
      <c r="C29" t="s">
        <v>17</v>
      </c>
      <c r="D29" t="s">
        <v>10</v>
      </c>
      <c r="E29" t="s">
        <v>5</v>
      </c>
      <c r="F29">
        <v>19</v>
      </c>
      <c r="G29" t="b">
        <v>1</v>
      </c>
      <c r="H29" s="3">
        <v>32433</v>
      </c>
      <c r="I29" s="3">
        <v>389196</v>
      </c>
      <c r="J29">
        <v>4</v>
      </c>
      <c r="K29">
        <v>3.75</v>
      </c>
      <c r="L29">
        <v>0</v>
      </c>
      <c r="M29" t="s">
        <v>11</v>
      </c>
      <c r="N29" t="str">
        <f>IF(tblCustomer[[#This Row],[Monthly Revenue]]&gt;=30000, "Tier 1 ", IF(tblCustomer[[#This Row],[Monthly Revenue]]&gt;= 15000,"Tier 2 ","Tier 3 "))</f>
        <v xml:space="preserve">Tier 1 </v>
      </c>
      <c r="O29" t="s">
        <v>1031</v>
      </c>
    </row>
    <row r="30" spans="1:15" x14ac:dyDescent="0.25">
      <c r="A30" t="s">
        <v>74</v>
      </c>
      <c r="B30" t="s">
        <v>75</v>
      </c>
      <c r="C30" t="s">
        <v>14</v>
      </c>
      <c r="D30" t="s">
        <v>4</v>
      </c>
      <c r="E30" t="s">
        <v>22</v>
      </c>
      <c r="F30">
        <v>7</v>
      </c>
      <c r="G30" t="b">
        <v>0</v>
      </c>
      <c r="H30" s="3">
        <v>42096</v>
      </c>
      <c r="I30" s="3">
        <v>505152</v>
      </c>
      <c r="J30">
        <v>4</v>
      </c>
      <c r="K30">
        <v>1</v>
      </c>
      <c r="L30">
        <v>60</v>
      </c>
      <c r="M30" t="s">
        <v>19</v>
      </c>
      <c r="N30" t="str">
        <f>IF(tblCustomer[[#This Row],[Monthly Revenue]]&gt;=30000, "Tier 1 ", IF(tblCustomer[[#This Row],[Monthly Revenue]]&gt;= 15000,"Tier 2 ","Tier 3 "))</f>
        <v xml:space="preserve">Tier 1 </v>
      </c>
      <c r="O30" t="s">
        <v>1032</v>
      </c>
    </row>
    <row r="31" spans="1:15" x14ac:dyDescent="0.25">
      <c r="A31" t="s">
        <v>76</v>
      </c>
      <c r="B31" t="s">
        <v>77</v>
      </c>
      <c r="C31" t="s">
        <v>17</v>
      </c>
      <c r="D31" t="s">
        <v>10</v>
      </c>
      <c r="E31" t="s">
        <v>5</v>
      </c>
      <c r="F31">
        <v>20</v>
      </c>
      <c r="G31" t="b">
        <v>0</v>
      </c>
      <c r="H31" s="3">
        <v>11069</v>
      </c>
      <c r="I31" s="3">
        <v>132828</v>
      </c>
      <c r="J31">
        <v>2</v>
      </c>
      <c r="K31">
        <v>3.5</v>
      </c>
      <c r="L31">
        <v>30</v>
      </c>
      <c r="M31" t="s">
        <v>11</v>
      </c>
      <c r="N31" t="str">
        <f>IF(tblCustomer[[#This Row],[Monthly Revenue]]&gt;=30000, "Tier 1 ", IF(tblCustomer[[#This Row],[Monthly Revenue]]&gt;= 15000,"Tier 2 ","Tier 3 "))</f>
        <v xml:space="preserve">Tier 3 </v>
      </c>
      <c r="O31" t="s">
        <v>1030</v>
      </c>
    </row>
    <row r="32" spans="1:15" x14ac:dyDescent="0.25">
      <c r="A32" t="s">
        <v>78</v>
      </c>
      <c r="B32" t="s">
        <v>79</v>
      </c>
      <c r="C32" t="s">
        <v>27</v>
      </c>
      <c r="D32" t="s">
        <v>33</v>
      </c>
      <c r="E32" t="s">
        <v>22</v>
      </c>
      <c r="F32">
        <v>2</v>
      </c>
      <c r="G32" t="b">
        <v>0</v>
      </c>
      <c r="H32" s="3">
        <v>10236</v>
      </c>
      <c r="I32" s="3">
        <v>122832</v>
      </c>
      <c r="J32">
        <v>5</v>
      </c>
      <c r="K32">
        <v>0.8</v>
      </c>
      <c r="L32">
        <v>70</v>
      </c>
      <c r="M32" t="s">
        <v>19</v>
      </c>
      <c r="N32" t="str">
        <f>IF(tblCustomer[[#This Row],[Monthly Revenue]]&gt;=30000, "Tier 1 ", IF(tblCustomer[[#This Row],[Monthly Revenue]]&gt;= 15000,"Tier 2 ","Tier 3 "))</f>
        <v xml:space="preserve">Tier 3 </v>
      </c>
      <c r="O32" t="s">
        <v>1030</v>
      </c>
    </row>
    <row r="33" spans="1:15" x14ac:dyDescent="0.25">
      <c r="A33" t="s">
        <v>80</v>
      </c>
      <c r="B33" t="s">
        <v>81</v>
      </c>
      <c r="C33" t="s">
        <v>9</v>
      </c>
      <c r="D33" t="s">
        <v>4</v>
      </c>
      <c r="E33" t="s">
        <v>22</v>
      </c>
      <c r="F33">
        <v>16</v>
      </c>
      <c r="G33" t="b">
        <v>0</v>
      </c>
      <c r="H33" s="3">
        <v>8216</v>
      </c>
      <c r="I33" s="3">
        <v>98592</v>
      </c>
      <c r="J33">
        <v>5</v>
      </c>
      <c r="K33">
        <v>2.2000000000000002</v>
      </c>
      <c r="L33">
        <v>25</v>
      </c>
      <c r="M33" t="s">
        <v>11</v>
      </c>
      <c r="N33" t="str">
        <f>IF(tblCustomer[[#This Row],[Monthly Revenue]]&gt;=30000, "Tier 1 ", IF(tblCustomer[[#This Row],[Monthly Revenue]]&gt;= 15000,"Tier 2 ","Tier 3 "))</f>
        <v xml:space="preserve">Tier 3 </v>
      </c>
      <c r="O33" t="s">
        <v>1031</v>
      </c>
    </row>
    <row r="34" spans="1:15" x14ac:dyDescent="0.25">
      <c r="A34" t="s">
        <v>82</v>
      </c>
      <c r="B34" t="s">
        <v>83</v>
      </c>
      <c r="C34" t="s">
        <v>3</v>
      </c>
      <c r="D34" t="s">
        <v>4</v>
      </c>
      <c r="E34" t="s">
        <v>5</v>
      </c>
      <c r="F34">
        <v>14</v>
      </c>
      <c r="G34" t="b">
        <v>1</v>
      </c>
      <c r="H34" s="3">
        <v>21821</v>
      </c>
      <c r="I34" s="3">
        <v>261852</v>
      </c>
      <c r="J34">
        <v>3</v>
      </c>
      <c r="K34">
        <v>2</v>
      </c>
      <c r="L34">
        <v>45</v>
      </c>
      <c r="M34" t="s">
        <v>6</v>
      </c>
      <c r="N34" t="str">
        <f>IF(tblCustomer[[#This Row],[Monthly Revenue]]&gt;=30000, "Tier 1 ", IF(tblCustomer[[#This Row],[Monthly Revenue]]&gt;= 15000,"Tier 2 ","Tier 3 "))</f>
        <v xml:space="preserve">Tier 2 </v>
      </c>
      <c r="O34" t="s">
        <v>1030</v>
      </c>
    </row>
    <row r="35" spans="1:15" x14ac:dyDescent="0.25">
      <c r="A35" t="s">
        <v>84</v>
      </c>
      <c r="B35" t="s">
        <v>85</v>
      </c>
      <c r="C35" t="s">
        <v>27</v>
      </c>
      <c r="D35" t="s">
        <v>71</v>
      </c>
      <c r="E35" t="s">
        <v>5</v>
      </c>
      <c r="F35">
        <v>2</v>
      </c>
      <c r="G35" t="b">
        <v>0</v>
      </c>
      <c r="H35" s="3">
        <v>17260</v>
      </c>
      <c r="I35" s="3">
        <v>207120</v>
      </c>
      <c r="J35">
        <v>6</v>
      </c>
      <c r="K35">
        <v>2</v>
      </c>
      <c r="L35">
        <v>55</v>
      </c>
      <c r="M35" t="s">
        <v>6</v>
      </c>
      <c r="N35" t="str">
        <f>IF(tblCustomer[[#This Row],[Monthly Revenue]]&gt;=30000, "Tier 1 ", IF(tblCustomer[[#This Row],[Monthly Revenue]]&gt;= 15000,"Tier 2 ","Tier 3 "))</f>
        <v xml:space="preserve">Tier 2 </v>
      </c>
      <c r="O35" t="s">
        <v>1030</v>
      </c>
    </row>
    <row r="36" spans="1:15" x14ac:dyDescent="0.25">
      <c r="A36" t="s">
        <v>86</v>
      </c>
      <c r="B36" t="s">
        <v>87</v>
      </c>
      <c r="C36" t="s">
        <v>9</v>
      </c>
      <c r="D36" t="s">
        <v>71</v>
      </c>
      <c r="E36" t="s">
        <v>5</v>
      </c>
      <c r="F36">
        <v>7</v>
      </c>
      <c r="G36" t="b">
        <v>0</v>
      </c>
      <c r="H36" s="3">
        <v>7797</v>
      </c>
      <c r="I36" s="3">
        <v>93564</v>
      </c>
      <c r="J36">
        <v>1</v>
      </c>
      <c r="K36">
        <v>4</v>
      </c>
      <c r="L36">
        <v>30</v>
      </c>
      <c r="M36" t="s">
        <v>11</v>
      </c>
      <c r="N36" t="str">
        <f>IF(tblCustomer[[#This Row],[Monthly Revenue]]&gt;=30000, "Tier 1 ", IF(tblCustomer[[#This Row],[Monthly Revenue]]&gt;= 15000,"Tier 2 ","Tier 3 "))</f>
        <v xml:space="preserve">Tier 3 </v>
      </c>
      <c r="O36" t="s">
        <v>1031</v>
      </c>
    </row>
    <row r="37" spans="1:15" x14ac:dyDescent="0.25">
      <c r="A37" t="s">
        <v>88</v>
      </c>
      <c r="B37" t="s">
        <v>89</v>
      </c>
      <c r="C37" t="s">
        <v>3</v>
      </c>
      <c r="D37" t="s">
        <v>90</v>
      </c>
      <c r="E37" t="s">
        <v>5</v>
      </c>
      <c r="F37">
        <v>5</v>
      </c>
      <c r="G37" t="b">
        <v>0</v>
      </c>
      <c r="H37" s="3">
        <v>456</v>
      </c>
      <c r="I37" s="3">
        <v>5472</v>
      </c>
      <c r="J37">
        <v>7</v>
      </c>
      <c r="K37">
        <v>3.29</v>
      </c>
      <c r="L37">
        <v>40</v>
      </c>
      <c r="M37" t="s">
        <v>6</v>
      </c>
      <c r="N37" t="str">
        <f>IF(tblCustomer[[#This Row],[Monthly Revenue]]&gt;=30000, "Tier 1 ", IF(tblCustomer[[#This Row],[Monthly Revenue]]&gt;= 15000,"Tier 2 ","Tier 3 "))</f>
        <v xml:space="preserve">Tier 3 </v>
      </c>
      <c r="O37" t="s">
        <v>1031</v>
      </c>
    </row>
    <row r="38" spans="1:15" x14ac:dyDescent="0.25">
      <c r="A38" t="s">
        <v>91</v>
      </c>
      <c r="B38" t="s">
        <v>92</v>
      </c>
      <c r="C38" t="s">
        <v>14</v>
      </c>
      <c r="D38" t="s">
        <v>54</v>
      </c>
      <c r="E38" t="s">
        <v>28</v>
      </c>
      <c r="F38">
        <v>5</v>
      </c>
      <c r="G38" t="b">
        <v>0</v>
      </c>
      <c r="H38" s="3">
        <v>11392</v>
      </c>
      <c r="I38" s="3">
        <v>136704</v>
      </c>
      <c r="J38">
        <v>8</v>
      </c>
      <c r="K38">
        <v>2.12</v>
      </c>
      <c r="L38">
        <v>35</v>
      </c>
      <c r="M38" t="s">
        <v>6</v>
      </c>
      <c r="N38" t="str">
        <f>IF(tblCustomer[[#This Row],[Monthly Revenue]]&gt;=30000, "Tier 1 ", IF(tblCustomer[[#This Row],[Monthly Revenue]]&gt;= 15000,"Tier 2 ","Tier 3 "))</f>
        <v xml:space="preserve">Tier 3 </v>
      </c>
      <c r="O38" t="s">
        <v>1032</v>
      </c>
    </row>
    <row r="39" spans="1:15" x14ac:dyDescent="0.25">
      <c r="A39" t="s">
        <v>93</v>
      </c>
      <c r="B39" t="s">
        <v>94</v>
      </c>
      <c r="C39" t="s">
        <v>17</v>
      </c>
      <c r="D39" t="s">
        <v>4</v>
      </c>
      <c r="E39" t="s">
        <v>22</v>
      </c>
      <c r="F39">
        <v>3</v>
      </c>
      <c r="G39" t="b">
        <v>0</v>
      </c>
      <c r="H39" s="3">
        <v>20131</v>
      </c>
      <c r="I39" s="3">
        <v>241572</v>
      </c>
      <c r="J39">
        <v>4</v>
      </c>
      <c r="K39">
        <v>2</v>
      </c>
      <c r="L39">
        <v>45</v>
      </c>
      <c r="M39" t="s">
        <v>6</v>
      </c>
      <c r="N39" t="str">
        <f>IF(tblCustomer[[#This Row],[Monthly Revenue]]&gt;=30000, "Tier 1 ", IF(tblCustomer[[#This Row],[Monthly Revenue]]&gt;= 15000,"Tier 2 ","Tier 3 "))</f>
        <v xml:space="preserve">Tier 2 </v>
      </c>
      <c r="O39" t="s">
        <v>1030</v>
      </c>
    </row>
    <row r="40" spans="1:15" x14ac:dyDescent="0.25">
      <c r="A40" t="s">
        <v>95</v>
      </c>
      <c r="B40" t="s">
        <v>96</v>
      </c>
      <c r="C40" t="s">
        <v>9</v>
      </c>
      <c r="D40" t="s">
        <v>10</v>
      </c>
      <c r="E40" t="s">
        <v>22</v>
      </c>
      <c r="F40">
        <v>20</v>
      </c>
      <c r="G40" t="b">
        <v>0</v>
      </c>
      <c r="H40" s="3">
        <v>14759</v>
      </c>
      <c r="I40" s="3">
        <v>177108</v>
      </c>
      <c r="J40">
        <v>5</v>
      </c>
      <c r="K40">
        <v>4.8</v>
      </c>
      <c r="L40">
        <v>40</v>
      </c>
      <c r="M40" t="s">
        <v>6</v>
      </c>
      <c r="N40" t="str">
        <f>IF(tblCustomer[[#This Row],[Monthly Revenue]]&gt;=30000, "Tier 1 ", IF(tblCustomer[[#This Row],[Monthly Revenue]]&gt;= 15000,"Tier 2 ","Tier 3 "))</f>
        <v xml:space="preserve">Tier 3 </v>
      </c>
      <c r="O40" t="s">
        <v>1028</v>
      </c>
    </row>
    <row r="41" spans="1:15" x14ac:dyDescent="0.25">
      <c r="A41" t="s">
        <v>97</v>
      </c>
      <c r="B41" t="s">
        <v>98</v>
      </c>
      <c r="C41" t="s">
        <v>27</v>
      </c>
      <c r="D41" t="s">
        <v>4</v>
      </c>
      <c r="E41" t="s">
        <v>28</v>
      </c>
      <c r="F41">
        <v>4</v>
      </c>
      <c r="G41" t="b">
        <v>0</v>
      </c>
      <c r="H41" s="3">
        <v>8771</v>
      </c>
      <c r="I41" s="3">
        <v>105252</v>
      </c>
      <c r="J41">
        <v>5</v>
      </c>
      <c r="K41">
        <v>3.2</v>
      </c>
      <c r="L41">
        <v>10</v>
      </c>
      <c r="M41" t="s">
        <v>11</v>
      </c>
      <c r="N41" t="str">
        <f>IF(tblCustomer[[#This Row],[Monthly Revenue]]&gt;=30000, "Tier 1 ", IF(tblCustomer[[#This Row],[Monthly Revenue]]&gt;= 15000,"Tier 2 ","Tier 3 "))</f>
        <v xml:space="preserve">Tier 3 </v>
      </c>
      <c r="O41" t="s">
        <v>1029</v>
      </c>
    </row>
    <row r="42" spans="1:15" x14ac:dyDescent="0.25">
      <c r="A42" t="s">
        <v>99</v>
      </c>
      <c r="B42" t="s">
        <v>100</v>
      </c>
      <c r="C42" t="s">
        <v>9</v>
      </c>
      <c r="D42" t="s">
        <v>4</v>
      </c>
      <c r="E42" t="s">
        <v>5</v>
      </c>
      <c r="F42">
        <v>32</v>
      </c>
      <c r="G42" t="b">
        <v>0</v>
      </c>
      <c r="H42" s="3">
        <v>51109</v>
      </c>
      <c r="I42" s="3">
        <v>613308</v>
      </c>
      <c r="J42">
        <v>4</v>
      </c>
      <c r="K42">
        <v>3</v>
      </c>
      <c r="L42">
        <v>30</v>
      </c>
      <c r="M42" t="s">
        <v>11</v>
      </c>
      <c r="N42" t="str">
        <f>IF(tblCustomer[[#This Row],[Monthly Revenue]]&gt;=30000, "Tier 1 ", IF(tblCustomer[[#This Row],[Monthly Revenue]]&gt;= 15000,"Tier 2 ","Tier 3 "))</f>
        <v xml:space="preserve">Tier 1 </v>
      </c>
      <c r="O42" t="s">
        <v>1031</v>
      </c>
    </row>
    <row r="43" spans="1:15" x14ac:dyDescent="0.25">
      <c r="A43" t="s">
        <v>101</v>
      </c>
      <c r="B43" t="s">
        <v>102</v>
      </c>
      <c r="C43" t="s">
        <v>17</v>
      </c>
      <c r="D43" t="s">
        <v>4</v>
      </c>
      <c r="E43" t="s">
        <v>5</v>
      </c>
      <c r="F43">
        <v>2</v>
      </c>
      <c r="G43" t="b">
        <v>0</v>
      </c>
      <c r="H43" s="3">
        <v>3565</v>
      </c>
      <c r="I43" s="3">
        <v>42780</v>
      </c>
      <c r="J43">
        <v>3</v>
      </c>
      <c r="K43">
        <v>4.33</v>
      </c>
      <c r="L43">
        <v>0</v>
      </c>
      <c r="M43" t="s">
        <v>11</v>
      </c>
      <c r="N43" t="str">
        <f>IF(tblCustomer[[#This Row],[Monthly Revenue]]&gt;=30000, "Tier 1 ", IF(tblCustomer[[#This Row],[Monthly Revenue]]&gt;= 15000,"Tier 2 ","Tier 3 "))</f>
        <v xml:space="preserve">Tier 3 </v>
      </c>
      <c r="O43" t="s">
        <v>1029</v>
      </c>
    </row>
    <row r="44" spans="1:15" x14ac:dyDescent="0.25">
      <c r="A44" t="s">
        <v>103</v>
      </c>
      <c r="B44" t="s">
        <v>104</v>
      </c>
      <c r="C44" t="s">
        <v>3</v>
      </c>
      <c r="D44" t="s">
        <v>4</v>
      </c>
      <c r="E44" t="s">
        <v>28</v>
      </c>
      <c r="F44">
        <v>34</v>
      </c>
      <c r="G44" t="b">
        <v>1</v>
      </c>
      <c r="H44" s="3">
        <v>39516</v>
      </c>
      <c r="I44" s="3">
        <v>474192</v>
      </c>
      <c r="J44">
        <v>1</v>
      </c>
      <c r="K44">
        <v>3</v>
      </c>
      <c r="L44">
        <v>0</v>
      </c>
      <c r="M44" t="s">
        <v>11</v>
      </c>
      <c r="N44" t="str">
        <f>IF(tblCustomer[[#This Row],[Monthly Revenue]]&gt;=30000, "Tier 1 ", IF(tblCustomer[[#This Row],[Monthly Revenue]]&gt;= 15000,"Tier 2 ","Tier 3 "))</f>
        <v xml:space="preserve">Tier 1 </v>
      </c>
      <c r="O44" t="s">
        <v>1027</v>
      </c>
    </row>
    <row r="45" spans="1:15" x14ac:dyDescent="0.25">
      <c r="A45" t="s">
        <v>105</v>
      </c>
      <c r="B45" t="s">
        <v>106</v>
      </c>
      <c r="C45" t="s">
        <v>17</v>
      </c>
      <c r="D45" t="s">
        <v>4</v>
      </c>
      <c r="E45" t="s">
        <v>5</v>
      </c>
      <c r="F45">
        <v>14</v>
      </c>
      <c r="G45" t="b">
        <v>0</v>
      </c>
      <c r="H45" s="3">
        <v>32394</v>
      </c>
      <c r="I45" s="3">
        <v>388728</v>
      </c>
      <c r="J45">
        <v>2</v>
      </c>
      <c r="K45">
        <v>4.5</v>
      </c>
      <c r="L45">
        <v>30</v>
      </c>
      <c r="M45" t="s">
        <v>11</v>
      </c>
      <c r="N45" t="str">
        <f>IF(tblCustomer[[#This Row],[Monthly Revenue]]&gt;=30000, "Tier 1 ", IF(tblCustomer[[#This Row],[Monthly Revenue]]&gt;= 15000,"Tier 2 ","Tier 3 "))</f>
        <v xml:space="preserve">Tier 1 </v>
      </c>
      <c r="O45" t="s">
        <v>1028</v>
      </c>
    </row>
    <row r="46" spans="1:15" x14ac:dyDescent="0.25">
      <c r="A46" t="s">
        <v>107</v>
      </c>
      <c r="B46" t="s">
        <v>108</v>
      </c>
      <c r="C46" t="s">
        <v>9</v>
      </c>
      <c r="D46" t="s">
        <v>10</v>
      </c>
      <c r="E46" t="s">
        <v>22</v>
      </c>
      <c r="F46">
        <v>2</v>
      </c>
      <c r="G46" t="b">
        <v>0</v>
      </c>
      <c r="H46" s="3">
        <v>19465</v>
      </c>
      <c r="I46" s="3">
        <v>233580</v>
      </c>
      <c r="J46">
        <v>3</v>
      </c>
      <c r="K46">
        <v>2.33</v>
      </c>
      <c r="L46">
        <v>45</v>
      </c>
      <c r="M46" t="s">
        <v>6</v>
      </c>
      <c r="N46" t="str">
        <f>IF(tblCustomer[[#This Row],[Monthly Revenue]]&gt;=30000, "Tier 1 ", IF(tblCustomer[[#This Row],[Monthly Revenue]]&gt;= 15000,"Tier 2 ","Tier 3 "))</f>
        <v xml:space="preserve">Tier 2 </v>
      </c>
      <c r="O46" t="s">
        <v>1029</v>
      </c>
    </row>
    <row r="47" spans="1:15" x14ac:dyDescent="0.25">
      <c r="A47" t="s">
        <v>109</v>
      </c>
      <c r="B47" t="s">
        <v>110</v>
      </c>
      <c r="C47" t="s">
        <v>9</v>
      </c>
      <c r="D47" t="s">
        <v>10</v>
      </c>
      <c r="E47" t="s">
        <v>5</v>
      </c>
      <c r="F47">
        <v>7</v>
      </c>
      <c r="G47" t="b">
        <v>0</v>
      </c>
      <c r="H47" s="3">
        <v>29071</v>
      </c>
      <c r="I47" s="3">
        <v>348852</v>
      </c>
      <c r="J47">
        <v>3</v>
      </c>
      <c r="K47">
        <v>3.33</v>
      </c>
      <c r="L47">
        <v>30</v>
      </c>
      <c r="M47" t="s">
        <v>11</v>
      </c>
      <c r="N47" t="str">
        <f>IF(tblCustomer[[#This Row],[Monthly Revenue]]&gt;=30000, "Tier 1 ", IF(tblCustomer[[#This Row],[Monthly Revenue]]&gt;= 15000,"Tier 2 ","Tier 3 "))</f>
        <v xml:space="preserve">Tier 2 </v>
      </c>
      <c r="O47" t="s">
        <v>1028</v>
      </c>
    </row>
    <row r="48" spans="1:15" x14ac:dyDescent="0.25">
      <c r="A48" t="s">
        <v>111</v>
      </c>
      <c r="B48" t="s">
        <v>112</v>
      </c>
      <c r="C48" t="s">
        <v>3</v>
      </c>
      <c r="D48" t="s">
        <v>18</v>
      </c>
      <c r="E48" t="s">
        <v>28</v>
      </c>
      <c r="F48">
        <v>9</v>
      </c>
      <c r="G48" t="b">
        <v>0</v>
      </c>
      <c r="H48" s="3">
        <v>10394</v>
      </c>
      <c r="I48" s="3">
        <v>124728</v>
      </c>
      <c r="J48">
        <v>2</v>
      </c>
      <c r="K48">
        <v>4.5</v>
      </c>
      <c r="L48">
        <v>30</v>
      </c>
      <c r="M48" t="s">
        <v>11</v>
      </c>
      <c r="N48" t="str">
        <f>IF(tblCustomer[[#This Row],[Monthly Revenue]]&gt;=30000, "Tier 1 ", IF(tblCustomer[[#This Row],[Monthly Revenue]]&gt;= 15000,"Tier 2 ","Tier 3 "))</f>
        <v xml:space="preserve">Tier 3 </v>
      </c>
      <c r="O48" t="s">
        <v>1029</v>
      </c>
    </row>
    <row r="49" spans="1:15" x14ac:dyDescent="0.25">
      <c r="A49" t="s">
        <v>113</v>
      </c>
      <c r="B49" t="s">
        <v>114</v>
      </c>
      <c r="C49" t="s">
        <v>14</v>
      </c>
      <c r="D49" t="s">
        <v>71</v>
      </c>
      <c r="E49" t="s">
        <v>22</v>
      </c>
      <c r="F49">
        <v>5</v>
      </c>
      <c r="G49" t="b">
        <v>0</v>
      </c>
      <c r="H49" s="3">
        <v>38210</v>
      </c>
      <c r="I49" s="3">
        <v>458520</v>
      </c>
      <c r="J49">
        <v>5</v>
      </c>
      <c r="K49">
        <v>2.6</v>
      </c>
      <c r="L49">
        <v>40</v>
      </c>
      <c r="M49" t="s">
        <v>6</v>
      </c>
      <c r="N49" t="str">
        <f>IF(tblCustomer[[#This Row],[Monthly Revenue]]&gt;=30000, "Tier 1 ", IF(tblCustomer[[#This Row],[Monthly Revenue]]&gt;= 15000,"Tier 2 ","Tier 3 "))</f>
        <v xml:space="preserve">Tier 1 </v>
      </c>
      <c r="O49" t="s">
        <v>1032</v>
      </c>
    </row>
    <row r="50" spans="1:15" x14ac:dyDescent="0.25">
      <c r="A50" t="s">
        <v>115</v>
      </c>
      <c r="B50" t="s">
        <v>116</v>
      </c>
      <c r="C50" t="s">
        <v>3</v>
      </c>
      <c r="D50" t="s">
        <v>4</v>
      </c>
      <c r="E50" t="s">
        <v>5</v>
      </c>
      <c r="F50">
        <v>6</v>
      </c>
      <c r="G50" t="b">
        <v>0</v>
      </c>
      <c r="H50" s="3">
        <v>20475</v>
      </c>
      <c r="I50" s="3">
        <v>245700</v>
      </c>
      <c r="J50">
        <v>4</v>
      </c>
      <c r="K50">
        <v>2.75</v>
      </c>
      <c r="L50">
        <v>30</v>
      </c>
      <c r="M50" t="s">
        <v>11</v>
      </c>
      <c r="N50" t="str">
        <f>IF(tblCustomer[[#This Row],[Monthly Revenue]]&gt;=30000, "Tier 1 ", IF(tblCustomer[[#This Row],[Monthly Revenue]]&gt;= 15000,"Tier 2 ","Tier 3 "))</f>
        <v xml:space="preserve">Tier 2 </v>
      </c>
      <c r="O50" t="s">
        <v>1031</v>
      </c>
    </row>
    <row r="51" spans="1:15" x14ac:dyDescent="0.25">
      <c r="A51" t="s">
        <v>117</v>
      </c>
      <c r="B51" t="s">
        <v>118</v>
      </c>
      <c r="C51" t="s">
        <v>9</v>
      </c>
      <c r="D51" t="s">
        <v>4</v>
      </c>
      <c r="E51" t="s">
        <v>5</v>
      </c>
      <c r="F51">
        <v>13</v>
      </c>
      <c r="G51" t="b">
        <v>0</v>
      </c>
      <c r="H51" s="3">
        <v>23676</v>
      </c>
      <c r="I51" s="3">
        <v>284112</v>
      </c>
      <c r="J51">
        <v>5</v>
      </c>
      <c r="K51">
        <v>1.6</v>
      </c>
      <c r="L51">
        <v>55</v>
      </c>
      <c r="M51" t="s">
        <v>6</v>
      </c>
      <c r="N51" t="str">
        <f>IF(tblCustomer[[#This Row],[Monthly Revenue]]&gt;=30000, "Tier 1 ", IF(tblCustomer[[#This Row],[Monthly Revenue]]&gt;= 15000,"Tier 2 ","Tier 3 "))</f>
        <v xml:space="preserve">Tier 2 </v>
      </c>
      <c r="O51" t="s">
        <v>1029</v>
      </c>
    </row>
    <row r="52" spans="1:15" x14ac:dyDescent="0.25">
      <c r="A52" t="s">
        <v>119</v>
      </c>
      <c r="B52" t="s">
        <v>120</v>
      </c>
      <c r="C52" t="s">
        <v>9</v>
      </c>
      <c r="D52" t="s">
        <v>4</v>
      </c>
      <c r="E52" t="s">
        <v>5</v>
      </c>
      <c r="F52">
        <v>47</v>
      </c>
      <c r="G52" t="b">
        <v>1</v>
      </c>
      <c r="H52" s="3">
        <v>19088</v>
      </c>
      <c r="I52" s="3">
        <v>229056</v>
      </c>
      <c r="J52">
        <v>2</v>
      </c>
      <c r="K52">
        <v>1.5</v>
      </c>
      <c r="L52">
        <v>45</v>
      </c>
      <c r="M52" t="s">
        <v>6</v>
      </c>
      <c r="N52" t="str">
        <f>IF(tblCustomer[[#This Row],[Monthly Revenue]]&gt;=30000, "Tier 1 ", IF(tblCustomer[[#This Row],[Monthly Revenue]]&gt;= 15000,"Tier 2 ","Tier 3 "))</f>
        <v xml:space="preserve">Tier 2 </v>
      </c>
      <c r="O52" t="s">
        <v>1027</v>
      </c>
    </row>
    <row r="53" spans="1:15" x14ac:dyDescent="0.25">
      <c r="A53" t="s">
        <v>121</v>
      </c>
      <c r="B53" t="s">
        <v>122</v>
      </c>
      <c r="C53" t="s">
        <v>17</v>
      </c>
      <c r="D53" t="s">
        <v>4</v>
      </c>
      <c r="E53" t="s">
        <v>5</v>
      </c>
      <c r="F53">
        <v>13</v>
      </c>
      <c r="G53" t="b">
        <v>0</v>
      </c>
      <c r="H53" s="3">
        <v>31989</v>
      </c>
      <c r="I53" s="3">
        <v>383868</v>
      </c>
      <c r="J53">
        <v>3</v>
      </c>
      <c r="K53">
        <v>3.33</v>
      </c>
      <c r="L53">
        <v>30</v>
      </c>
      <c r="M53" t="s">
        <v>11</v>
      </c>
      <c r="N53" t="str">
        <f>IF(tblCustomer[[#This Row],[Monthly Revenue]]&gt;=30000, "Tier 1 ", IF(tblCustomer[[#This Row],[Monthly Revenue]]&gt;= 15000,"Tier 2 ","Tier 3 "))</f>
        <v xml:space="preserve">Tier 1 </v>
      </c>
      <c r="O53" t="s">
        <v>1030</v>
      </c>
    </row>
    <row r="54" spans="1:15" x14ac:dyDescent="0.25">
      <c r="A54" t="s">
        <v>123</v>
      </c>
      <c r="B54" t="s">
        <v>124</v>
      </c>
      <c r="C54" t="s">
        <v>9</v>
      </c>
      <c r="D54" t="s">
        <v>4</v>
      </c>
      <c r="E54" t="s">
        <v>28</v>
      </c>
      <c r="F54">
        <v>22</v>
      </c>
      <c r="G54" t="b">
        <v>0</v>
      </c>
      <c r="H54" s="3">
        <v>26410</v>
      </c>
      <c r="I54" s="3">
        <v>316920</v>
      </c>
      <c r="J54">
        <v>6</v>
      </c>
      <c r="K54">
        <v>1.33</v>
      </c>
      <c r="L54">
        <v>70</v>
      </c>
      <c r="M54" t="s">
        <v>19</v>
      </c>
      <c r="N54" t="str">
        <f>IF(tblCustomer[[#This Row],[Monthly Revenue]]&gt;=30000, "Tier 1 ", IF(tblCustomer[[#This Row],[Monthly Revenue]]&gt;= 15000,"Tier 2 ","Tier 3 "))</f>
        <v xml:space="preserve">Tier 2 </v>
      </c>
      <c r="O54" t="s">
        <v>1031</v>
      </c>
    </row>
    <row r="55" spans="1:15" x14ac:dyDescent="0.25">
      <c r="A55" t="s">
        <v>125</v>
      </c>
      <c r="B55" t="s">
        <v>126</v>
      </c>
      <c r="C55" t="s">
        <v>14</v>
      </c>
      <c r="D55" t="s">
        <v>54</v>
      </c>
      <c r="E55" t="s">
        <v>28</v>
      </c>
      <c r="F55">
        <v>26</v>
      </c>
      <c r="G55" t="b">
        <v>0</v>
      </c>
      <c r="H55" s="3">
        <v>25790</v>
      </c>
      <c r="I55" s="3">
        <v>309480</v>
      </c>
      <c r="J55">
        <v>3</v>
      </c>
      <c r="K55">
        <v>1.33</v>
      </c>
      <c r="L55">
        <v>60</v>
      </c>
      <c r="M55" t="s">
        <v>19</v>
      </c>
      <c r="N55" t="str">
        <f>IF(tblCustomer[[#This Row],[Monthly Revenue]]&gt;=30000, "Tier 1 ", IF(tblCustomer[[#This Row],[Monthly Revenue]]&gt;= 15000,"Tier 2 ","Tier 3 "))</f>
        <v xml:space="preserve">Tier 2 </v>
      </c>
      <c r="O55" t="s">
        <v>1032</v>
      </c>
    </row>
    <row r="56" spans="1:15" x14ac:dyDescent="0.25">
      <c r="A56" t="s">
        <v>127</v>
      </c>
      <c r="B56" t="s">
        <v>128</v>
      </c>
      <c r="C56" t="s">
        <v>14</v>
      </c>
      <c r="D56" t="s">
        <v>4</v>
      </c>
      <c r="E56" t="s">
        <v>28</v>
      </c>
      <c r="F56">
        <v>20</v>
      </c>
      <c r="G56" t="b">
        <v>1</v>
      </c>
      <c r="H56" s="3">
        <v>4498</v>
      </c>
      <c r="I56" s="3">
        <v>53976</v>
      </c>
      <c r="J56">
        <v>2</v>
      </c>
      <c r="K56">
        <v>3.5</v>
      </c>
      <c r="L56">
        <v>30</v>
      </c>
      <c r="M56" t="s">
        <v>11</v>
      </c>
      <c r="N56" t="str">
        <f>IF(tblCustomer[[#This Row],[Monthly Revenue]]&gt;=30000, "Tier 1 ", IF(tblCustomer[[#This Row],[Monthly Revenue]]&gt;= 15000,"Tier 2 ","Tier 3 "))</f>
        <v xml:space="preserve">Tier 3 </v>
      </c>
      <c r="O56" t="s">
        <v>1029</v>
      </c>
    </row>
    <row r="57" spans="1:15" x14ac:dyDescent="0.25">
      <c r="A57" t="s">
        <v>129</v>
      </c>
      <c r="B57" t="s">
        <v>130</v>
      </c>
      <c r="C57" t="s">
        <v>17</v>
      </c>
      <c r="D57" t="s">
        <v>18</v>
      </c>
      <c r="E57" t="s">
        <v>5</v>
      </c>
      <c r="F57">
        <v>36</v>
      </c>
      <c r="G57" t="b">
        <v>1</v>
      </c>
      <c r="H57" s="3">
        <v>48060</v>
      </c>
      <c r="I57" s="3">
        <v>576720</v>
      </c>
      <c r="J57">
        <v>3</v>
      </c>
      <c r="K57">
        <v>2.33</v>
      </c>
      <c r="L57">
        <v>15</v>
      </c>
      <c r="M57" t="s">
        <v>11</v>
      </c>
      <c r="N57" t="str">
        <f>IF(tblCustomer[[#This Row],[Monthly Revenue]]&gt;=30000, "Tier 1 ", IF(tblCustomer[[#This Row],[Monthly Revenue]]&gt;= 15000,"Tier 2 ","Tier 3 "))</f>
        <v xml:space="preserve">Tier 1 </v>
      </c>
      <c r="O57" t="s">
        <v>1032</v>
      </c>
    </row>
    <row r="58" spans="1:15" x14ac:dyDescent="0.25">
      <c r="A58" t="s">
        <v>131</v>
      </c>
      <c r="B58" t="s">
        <v>132</v>
      </c>
      <c r="C58" t="s">
        <v>27</v>
      </c>
      <c r="D58" t="s">
        <v>4</v>
      </c>
      <c r="E58" t="s">
        <v>22</v>
      </c>
      <c r="F58">
        <v>1</v>
      </c>
      <c r="G58" t="b">
        <v>0</v>
      </c>
      <c r="H58" s="3">
        <v>9332</v>
      </c>
      <c r="I58" s="3">
        <v>111984</v>
      </c>
      <c r="J58">
        <v>3</v>
      </c>
      <c r="K58">
        <v>0</v>
      </c>
      <c r="L58">
        <v>60</v>
      </c>
      <c r="M58" t="s">
        <v>19</v>
      </c>
      <c r="N58" t="str">
        <f>IF(tblCustomer[[#This Row],[Monthly Revenue]]&gt;=30000, "Tier 1 ", IF(tblCustomer[[#This Row],[Monthly Revenue]]&gt;= 15000,"Tier 2 ","Tier 3 "))</f>
        <v xml:space="preserve">Tier 3 </v>
      </c>
      <c r="O58" t="s">
        <v>1027</v>
      </c>
    </row>
    <row r="59" spans="1:15" x14ac:dyDescent="0.25">
      <c r="A59" t="s">
        <v>133</v>
      </c>
      <c r="B59" t="s">
        <v>134</v>
      </c>
      <c r="C59" t="s">
        <v>3</v>
      </c>
      <c r="D59" t="s">
        <v>10</v>
      </c>
      <c r="E59" t="s">
        <v>5</v>
      </c>
      <c r="F59">
        <v>1</v>
      </c>
      <c r="G59" t="b">
        <v>0</v>
      </c>
      <c r="H59" s="3">
        <v>25928</v>
      </c>
      <c r="I59" s="3">
        <v>311136</v>
      </c>
      <c r="J59">
        <v>4</v>
      </c>
      <c r="K59">
        <v>3.25</v>
      </c>
      <c r="L59">
        <v>0</v>
      </c>
      <c r="M59" t="s">
        <v>11</v>
      </c>
      <c r="N59" t="str">
        <f>IF(tblCustomer[[#This Row],[Monthly Revenue]]&gt;=30000, "Tier 1 ", IF(tblCustomer[[#This Row],[Monthly Revenue]]&gt;= 15000,"Tier 2 ","Tier 3 "))</f>
        <v xml:space="preserve">Tier 2 </v>
      </c>
      <c r="O59" t="s">
        <v>1028</v>
      </c>
    </row>
    <row r="60" spans="1:15" x14ac:dyDescent="0.25">
      <c r="A60" t="s">
        <v>135</v>
      </c>
      <c r="B60" t="s">
        <v>136</v>
      </c>
      <c r="C60" t="s">
        <v>14</v>
      </c>
      <c r="D60" t="s">
        <v>4</v>
      </c>
      <c r="E60" t="s">
        <v>5</v>
      </c>
      <c r="F60">
        <v>20</v>
      </c>
      <c r="G60" t="b">
        <v>0</v>
      </c>
      <c r="H60" s="3">
        <v>31390</v>
      </c>
      <c r="I60" s="3">
        <v>376680</v>
      </c>
      <c r="J60">
        <v>2</v>
      </c>
      <c r="K60">
        <v>4</v>
      </c>
      <c r="L60">
        <v>30</v>
      </c>
      <c r="M60" t="s">
        <v>11</v>
      </c>
      <c r="N60" t="str">
        <f>IF(tblCustomer[[#This Row],[Monthly Revenue]]&gt;=30000, "Tier 1 ", IF(tblCustomer[[#This Row],[Monthly Revenue]]&gt;= 15000,"Tier 2 ","Tier 3 "))</f>
        <v xml:space="preserve">Tier 1 </v>
      </c>
      <c r="O60" t="s">
        <v>1032</v>
      </c>
    </row>
    <row r="61" spans="1:15" x14ac:dyDescent="0.25">
      <c r="A61" t="s">
        <v>137</v>
      </c>
      <c r="B61" t="s">
        <v>138</v>
      </c>
      <c r="C61" t="s">
        <v>17</v>
      </c>
      <c r="D61" t="s">
        <v>4</v>
      </c>
      <c r="E61" t="s">
        <v>5</v>
      </c>
      <c r="F61">
        <v>9</v>
      </c>
      <c r="G61" t="b">
        <v>1</v>
      </c>
      <c r="H61" s="3">
        <v>9420</v>
      </c>
      <c r="I61" s="3">
        <v>113040</v>
      </c>
      <c r="J61">
        <v>3</v>
      </c>
      <c r="K61">
        <v>1.33</v>
      </c>
      <c r="L61">
        <v>60</v>
      </c>
      <c r="M61" t="s">
        <v>19</v>
      </c>
      <c r="N61" t="str">
        <f>IF(tblCustomer[[#This Row],[Monthly Revenue]]&gt;=30000, "Tier 1 ", IF(tblCustomer[[#This Row],[Monthly Revenue]]&gt;= 15000,"Tier 2 ","Tier 3 "))</f>
        <v xml:space="preserve">Tier 3 </v>
      </c>
      <c r="O61" t="s">
        <v>1030</v>
      </c>
    </row>
    <row r="62" spans="1:15" x14ac:dyDescent="0.25">
      <c r="A62" t="s">
        <v>139</v>
      </c>
      <c r="B62" t="s">
        <v>140</v>
      </c>
      <c r="C62" t="s">
        <v>3</v>
      </c>
      <c r="D62" t="s">
        <v>18</v>
      </c>
      <c r="E62" t="s">
        <v>28</v>
      </c>
      <c r="F62">
        <v>8</v>
      </c>
      <c r="G62" t="b">
        <v>0</v>
      </c>
      <c r="H62" s="3">
        <v>12116</v>
      </c>
      <c r="I62" s="3">
        <v>145392</v>
      </c>
      <c r="J62">
        <v>6</v>
      </c>
      <c r="K62">
        <v>3</v>
      </c>
      <c r="L62">
        <v>40</v>
      </c>
      <c r="M62" t="s">
        <v>6</v>
      </c>
      <c r="N62" t="str">
        <f>IF(tblCustomer[[#This Row],[Monthly Revenue]]&gt;=30000, "Tier 1 ", IF(tblCustomer[[#This Row],[Monthly Revenue]]&gt;= 15000,"Tier 2 ","Tier 3 "))</f>
        <v xml:space="preserve">Tier 3 </v>
      </c>
      <c r="O62" t="s">
        <v>1028</v>
      </c>
    </row>
    <row r="63" spans="1:15" x14ac:dyDescent="0.25">
      <c r="A63" t="s">
        <v>141</v>
      </c>
      <c r="B63" t="s">
        <v>142</v>
      </c>
      <c r="C63" t="s">
        <v>17</v>
      </c>
      <c r="D63" t="s">
        <v>4</v>
      </c>
      <c r="E63" t="s">
        <v>5</v>
      </c>
      <c r="F63">
        <v>41</v>
      </c>
      <c r="G63" t="b">
        <v>0</v>
      </c>
      <c r="H63" s="3">
        <v>22673</v>
      </c>
      <c r="I63" s="3">
        <v>272076</v>
      </c>
      <c r="J63">
        <v>6</v>
      </c>
      <c r="K63">
        <v>2.33</v>
      </c>
      <c r="L63">
        <v>55</v>
      </c>
      <c r="M63" t="s">
        <v>6</v>
      </c>
      <c r="N63" t="str">
        <f>IF(tblCustomer[[#This Row],[Monthly Revenue]]&gt;=30000, "Tier 1 ", IF(tblCustomer[[#This Row],[Monthly Revenue]]&gt;= 15000,"Tier 2 ","Tier 3 "))</f>
        <v xml:space="preserve">Tier 2 </v>
      </c>
      <c r="O63" t="s">
        <v>1030</v>
      </c>
    </row>
    <row r="64" spans="1:15" x14ac:dyDescent="0.25">
      <c r="A64" t="s">
        <v>143</v>
      </c>
      <c r="B64" t="s">
        <v>144</v>
      </c>
      <c r="C64" t="s">
        <v>3</v>
      </c>
      <c r="D64" t="s">
        <v>4</v>
      </c>
      <c r="E64" t="s">
        <v>22</v>
      </c>
      <c r="F64">
        <v>33</v>
      </c>
      <c r="G64" t="b">
        <v>0</v>
      </c>
      <c r="H64" s="3">
        <v>3498</v>
      </c>
      <c r="I64" s="3">
        <v>41976</v>
      </c>
      <c r="J64">
        <v>4</v>
      </c>
      <c r="K64">
        <v>3.75</v>
      </c>
      <c r="L64">
        <v>30</v>
      </c>
      <c r="M64" t="s">
        <v>11</v>
      </c>
      <c r="N64" t="str">
        <f>IF(tblCustomer[[#This Row],[Monthly Revenue]]&gt;=30000, "Tier 1 ", IF(tblCustomer[[#This Row],[Monthly Revenue]]&gt;= 15000,"Tier 2 ","Tier 3 "))</f>
        <v xml:space="preserve">Tier 3 </v>
      </c>
      <c r="O64" t="s">
        <v>1030</v>
      </c>
    </row>
    <row r="65" spans="1:15" x14ac:dyDescent="0.25">
      <c r="A65" t="s">
        <v>145</v>
      </c>
      <c r="B65" t="s">
        <v>146</v>
      </c>
      <c r="C65" t="s">
        <v>27</v>
      </c>
      <c r="D65" t="s">
        <v>54</v>
      </c>
      <c r="E65" t="s">
        <v>22</v>
      </c>
      <c r="F65">
        <v>5</v>
      </c>
      <c r="G65" t="b">
        <v>0</v>
      </c>
      <c r="H65" s="3">
        <v>32477</v>
      </c>
      <c r="I65" s="3">
        <v>389724</v>
      </c>
      <c r="J65">
        <v>5</v>
      </c>
      <c r="K65">
        <v>2</v>
      </c>
      <c r="L65">
        <v>25</v>
      </c>
      <c r="M65" t="s">
        <v>11</v>
      </c>
      <c r="N65" t="str">
        <f>IF(tblCustomer[[#This Row],[Monthly Revenue]]&gt;=30000, "Tier 1 ", IF(tblCustomer[[#This Row],[Monthly Revenue]]&gt;= 15000,"Tier 2 ","Tier 3 "))</f>
        <v xml:space="preserve">Tier 1 </v>
      </c>
      <c r="O65" t="s">
        <v>1027</v>
      </c>
    </row>
    <row r="66" spans="1:15" x14ac:dyDescent="0.25">
      <c r="A66" t="s">
        <v>147</v>
      </c>
      <c r="B66" t="s">
        <v>148</v>
      </c>
      <c r="C66" t="s">
        <v>9</v>
      </c>
      <c r="D66" t="s">
        <v>4</v>
      </c>
      <c r="E66" t="s">
        <v>22</v>
      </c>
      <c r="F66">
        <v>46</v>
      </c>
      <c r="G66" t="b">
        <v>0</v>
      </c>
      <c r="H66" s="3">
        <v>41116</v>
      </c>
      <c r="I66" s="3">
        <v>493392</v>
      </c>
      <c r="J66">
        <v>5</v>
      </c>
      <c r="K66">
        <v>1.6</v>
      </c>
      <c r="L66">
        <v>55</v>
      </c>
      <c r="M66" t="s">
        <v>6</v>
      </c>
      <c r="N66" t="str">
        <f>IF(tblCustomer[[#This Row],[Monthly Revenue]]&gt;=30000, "Tier 1 ", IF(tblCustomer[[#This Row],[Monthly Revenue]]&gt;= 15000,"Tier 2 ","Tier 3 "))</f>
        <v xml:space="preserve">Tier 1 </v>
      </c>
      <c r="O66" t="s">
        <v>1028</v>
      </c>
    </row>
    <row r="67" spans="1:15" x14ac:dyDescent="0.25">
      <c r="A67" t="s">
        <v>149</v>
      </c>
      <c r="B67" t="s">
        <v>150</v>
      </c>
      <c r="C67" t="s">
        <v>27</v>
      </c>
      <c r="D67" t="s">
        <v>4</v>
      </c>
      <c r="E67" t="s">
        <v>5</v>
      </c>
      <c r="F67">
        <v>8</v>
      </c>
      <c r="G67" t="b">
        <v>0</v>
      </c>
      <c r="H67" s="3">
        <v>23919</v>
      </c>
      <c r="I67" s="3">
        <v>287028</v>
      </c>
      <c r="J67">
        <v>5</v>
      </c>
      <c r="K67">
        <v>2.6</v>
      </c>
      <c r="L67">
        <v>40</v>
      </c>
      <c r="M67" t="s">
        <v>6</v>
      </c>
      <c r="N67" t="str">
        <f>IF(tblCustomer[[#This Row],[Monthly Revenue]]&gt;=30000, "Tier 1 ", IF(tblCustomer[[#This Row],[Monthly Revenue]]&gt;= 15000,"Tier 2 ","Tier 3 "))</f>
        <v xml:space="preserve">Tier 2 </v>
      </c>
      <c r="O67" t="s">
        <v>1032</v>
      </c>
    </row>
    <row r="68" spans="1:15" x14ac:dyDescent="0.25">
      <c r="A68" t="s">
        <v>151</v>
      </c>
      <c r="B68" t="s">
        <v>152</v>
      </c>
      <c r="C68" t="s">
        <v>17</v>
      </c>
      <c r="D68" t="s">
        <v>90</v>
      </c>
      <c r="E68" t="s">
        <v>5</v>
      </c>
      <c r="F68">
        <v>43</v>
      </c>
      <c r="G68" t="b">
        <v>0</v>
      </c>
      <c r="H68" s="3">
        <v>39201</v>
      </c>
      <c r="I68" s="3">
        <v>470412</v>
      </c>
      <c r="J68">
        <v>5</v>
      </c>
      <c r="K68">
        <v>1.4</v>
      </c>
      <c r="L68">
        <v>70</v>
      </c>
      <c r="M68" t="s">
        <v>19</v>
      </c>
      <c r="N68" t="str">
        <f>IF(tblCustomer[[#This Row],[Monthly Revenue]]&gt;=30000, "Tier 1 ", IF(tblCustomer[[#This Row],[Monthly Revenue]]&gt;= 15000,"Tier 2 ","Tier 3 "))</f>
        <v xml:space="preserve">Tier 1 </v>
      </c>
      <c r="O68" t="s">
        <v>1030</v>
      </c>
    </row>
    <row r="69" spans="1:15" x14ac:dyDescent="0.25">
      <c r="A69" t="s">
        <v>153</v>
      </c>
      <c r="B69" t="s">
        <v>154</v>
      </c>
      <c r="C69" t="s">
        <v>9</v>
      </c>
      <c r="D69" t="s">
        <v>4</v>
      </c>
      <c r="E69" t="s">
        <v>28</v>
      </c>
      <c r="F69">
        <v>1</v>
      </c>
      <c r="G69" t="b">
        <v>0</v>
      </c>
      <c r="H69" s="3">
        <v>18807</v>
      </c>
      <c r="I69" s="3">
        <v>225684</v>
      </c>
      <c r="J69">
        <v>2</v>
      </c>
      <c r="K69">
        <v>2</v>
      </c>
      <c r="L69">
        <v>45</v>
      </c>
      <c r="M69" t="s">
        <v>6</v>
      </c>
      <c r="N69" t="str">
        <f>IF(tblCustomer[[#This Row],[Monthly Revenue]]&gt;=30000, "Tier 1 ", IF(tblCustomer[[#This Row],[Monthly Revenue]]&gt;= 15000,"Tier 2 ","Tier 3 "))</f>
        <v xml:space="preserve">Tier 2 </v>
      </c>
      <c r="O69" t="s">
        <v>1029</v>
      </c>
    </row>
    <row r="70" spans="1:15" x14ac:dyDescent="0.25">
      <c r="A70" t="s">
        <v>155</v>
      </c>
      <c r="B70" t="s">
        <v>156</v>
      </c>
      <c r="C70" t="s">
        <v>9</v>
      </c>
      <c r="D70" t="s">
        <v>4</v>
      </c>
      <c r="E70" t="s">
        <v>28</v>
      </c>
      <c r="F70">
        <v>18</v>
      </c>
      <c r="G70" t="b">
        <v>1</v>
      </c>
      <c r="H70" s="3">
        <v>27994</v>
      </c>
      <c r="I70" s="3">
        <v>335928</v>
      </c>
      <c r="J70">
        <v>4</v>
      </c>
      <c r="K70">
        <v>2</v>
      </c>
      <c r="L70">
        <v>45</v>
      </c>
      <c r="M70" t="s">
        <v>6</v>
      </c>
      <c r="N70" t="str">
        <f>IF(tblCustomer[[#This Row],[Monthly Revenue]]&gt;=30000, "Tier 1 ", IF(tblCustomer[[#This Row],[Monthly Revenue]]&gt;= 15000,"Tier 2 ","Tier 3 "))</f>
        <v xml:space="preserve">Tier 2 </v>
      </c>
      <c r="O70" t="s">
        <v>1032</v>
      </c>
    </row>
    <row r="71" spans="1:15" x14ac:dyDescent="0.25">
      <c r="A71" t="s">
        <v>157</v>
      </c>
      <c r="B71" t="s">
        <v>158</v>
      </c>
      <c r="C71" t="s">
        <v>27</v>
      </c>
      <c r="D71" t="s">
        <v>18</v>
      </c>
      <c r="E71" t="s">
        <v>5</v>
      </c>
      <c r="F71">
        <v>21</v>
      </c>
      <c r="G71" t="b">
        <v>1</v>
      </c>
      <c r="H71" s="3">
        <v>27803</v>
      </c>
      <c r="I71" s="3">
        <v>333636</v>
      </c>
      <c r="J71">
        <v>5</v>
      </c>
      <c r="K71">
        <v>3.8</v>
      </c>
      <c r="L71">
        <v>10</v>
      </c>
      <c r="M71" t="s">
        <v>11</v>
      </c>
      <c r="N71" t="str">
        <f>IF(tblCustomer[[#This Row],[Monthly Revenue]]&gt;=30000, "Tier 1 ", IF(tblCustomer[[#This Row],[Monthly Revenue]]&gt;= 15000,"Tier 2 ","Tier 3 "))</f>
        <v xml:space="preserve">Tier 2 </v>
      </c>
      <c r="O71" t="s">
        <v>1031</v>
      </c>
    </row>
    <row r="72" spans="1:15" x14ac:dyDescent="0.25">
      <c r="A72" t="s">
        <v>159</v>
      </c>
      <c r="B72" t="s">
        <v>160</v>
      </c>
      <c r="C72" t="s">
        <v>17</v>
      </c>
      <c r="D72" t="s">
        <v>4</v>
      </c>
      <c r="E72" t="s">
        <v>5</v>
      </c>
      <c r="F72">
        <v>15</v>
      </c>
      <c r="G72" t="b">
        <v>0</v>
      </c>
      <c r="H72" s="3">
        <v>10669</v>
      </c>
      <c r="I72" s="3">
        <v>128028</v>
      </c>
      <c r="J72">
        <v>2</v>
      </c>
      <c r="K72">
        <v>2</v>
      </c>
      <c r="L72">
        <v>45</v>
      </c>
      <c r="M72" t="s">
        <v>6</v>
      </c>
      <c r="N72" t="str">
        <f>IF(tblCustomer[[#This Row],[Monthly Revenue]]&gt;=30000, "Tier 1 ", IF(tblCustomer[[#This Row],[Monthly Revenue]]&gt;= 15000,"Tier 2 ","Tier 3 "))</f>
        <v xml:space="preserve">Tier 3 </v>
      </c>
      <c r="O72" t="s">
        <v>1029</v>
      </c>
    </row>
    <row r="73" spans="1:15" x14ac:dyDescent="0.25">
      <c r="A73" t="s">
        <v>161</v>
      </c>
      <c r="B73" t="s">
        <v>162</v>
      </c>
      <c r="C73" t="s">
        <v>3</v>
      </c>
      <c r="D73" t="s">
        <v>71</v>
      </c>
      <c r="E73" t="s">
        <v>5</v>
      </c>
      <c r="F73">
        <v>5</v>
      </c>
      <c r="G73" t="b">
        <v>0</v>
      </c>
      <c r="H73" s="3">
        <v>19725</v>
      </c>
      <c r="I73" s="3">
        <v>236700</v>
      </c>
      <c r="J73">
        <v>4</v>
      </c>
      <c r="K73">
        <v>3</v>
      </c>
      <c r="L73">
        <v>30</v>
      </c>
      <c r="M73" t="s">
        <v>11</v>
      </c>
      <c r="N73" t="str">
        <f>IF(tblCustomer[[#This Row],[Monthly Revenue]]&gt;=30000, "Tier 1 ", IF(tblCustomer[[#This Row],[Monthly Revenue]]&gt;= 15000,"Tier 2 ","Tier 3 "))</f>
        <v xml:space="preserve">Tier 2 </v>
      </c>
      <c r="O73" t="s">
        <v>1028</v>
      </c>
    </row>
    <row r="74" spans="1:15" x14ac:dyDescent="0.25">
      <c r="A74" t="s">
        <v>163</v>
      </c>
      <c r="B74" t="s">
        <v>164</v>
      </c>
      <c r="C74" t="s">
        <v>27</v>
      </c>
      <c r="D74" t="s">
        <v>18</v>
      </c>
      <c r="E74" t="s">
        <v>5</v>
      </c>
      <c r="F74">
        <v>7</v>
      </c>
      <c r="G74" t="b">
        <v>0</v>
      </c>
      <c r="H74" s="3">
        <v>11567</v>
      </c>
      <c r="I74" s="3">
        <v>138804</v>
      </c>
      <c r="J74">
        <v>1</v>
      </c>
      <c r="K74">
        <v>4</v>
      </c>
      <c r="L74">
        <v>30</v>
      </c>
      <c r="M74" t="s">
        <v>11</v>
      </c>
      <c r="N74" t="str">
        <f>IF(tblCustomer[[#This Row],[Monthly Revenue]]&gt;=30000, "Tier 1 ", IF(tblCustomer[[#This Row],[Monthly Revenue]]&gt;= 15000,"Tier 2 ","Tier 3 "))</f>
        <v xml:space="preserve">Tier 3 </v>
      </c>
      <c r="O74" t="s">
        <v>1027</v>
      </c>
    </row>
    <row r="75" spans="1:15" x14ac:dyDescent="0.25">
      <c r="A75" t="s">
        <v>165</v>
      </c>
      <c r="B75" t="s">
        <v>166</v>
      </c>
      <c r="C75" t="s">
        <v>27</v>
      </c>
      <c r="D75" t="s">
        <v>4</v>
      </c>
      <c r="E75" t="s">
        <v>5</v>
      </c>
      <c r="F75">
        <v>37</v>
      </c>
      <c r="G75" t="b">
        <v>0</v>
      </c>
      <c r="H75" s="3">
        <v>53976</v>
      </c>
      <c r="I75" s="3">
        <v>647712</v>
      </c>
      <c r="J75">
        <v>2</v>
      </c>
      <c r="K75">
        <v>2.5</v>
      </c>
      <c r="L75">
        <v>0</v>
      </c>
      <c r="M75" t="s">
        <v>11</v>
      </c>
      <c r="N75" t="str">
        <f>IF(tblCustomer[[#This Row],[Monthly Revenue]]&gt;=30000, "Tier 1 ", IF(tblCustomer[[#This Row],[Monthly Revenue]]&gt;= 15000,"Tier 2 ","Tier 3 "))</f>
        <v xml:space="preserve">Tier 1 </v>
      </c>
      <c r="O75" t="s">
        <v>1031</v>
      </c>
    </row>
    <row r="76" spans="1:15" x14ac:dyDescent="0.25">
      <c r="A76" t="s">
        <v>167</v>
      </c>
      <c r="B76" t="s">
        <v>168</v>
      </c>
      <c r="C76" t="s">
        <v>14</v>
      </c>
      <c r="D76" t="s">
        <v>33</v>
      </c>
      <c r="E76" t="s">
        <v>5</v>
      </c>
      <c r="F76">
        <v>1</v>
      </c>
      <c r="G76" t="b">
        <v>0</v>
      </c>
      <c r="H76" s="3">
        <v>14402</v>
      </c>
      <c r="I76" s="3">
        <v>172824</v>
      </c>
      <c r="J76">
        <v>3</v>
      </c>
      <c r="K76">
        <v>1.33</v>
      </c>
      <c r="L76">
        <v>30</v>
      </c>
      <c r="M76" t="s">
        <v>11</v>
      </c>
      <c r="N76" t="str">
        <f>IF(tblCustomer[[#This Row],[Monthly Revenue]]&gt;=30000, "Tier 1 ", IF(tblCustomer[[#This Row],[Monthly Revenue]]&gt;= 15000,"Tier 2 ","Tier 3 "))</f>
        <v xml:space="preserve">Tier 3 </v>
      </c>
      <c r="O76" t="s">
        <v>1028</v>
      </c>
    </row>
    <row r="77" spans="1:15" x14ac:dyDescent="0.25">
      <c r="A77" t="s">
        <v>169</v>
      </c>
      <c r="B77" t="s">
        <v>170</v>
      </c>
      <c r="C77" t="s">
        <v>9</v>
      </c>
      <c r="D77" t="s">
        <v>18</v>
      </c>
      <c r="E77" t="s">
        <v>5</v>
      </c>
      <c r="F77">
        <v>5</v>
      </c>
      <c r="G77" t="b">
        <v>0</v>
      </c>
      <c r="H77" s="3">
        <v>8504</v>
      </c>
      <c r="I77" s="3">
        <v>102048</v>
      </c>
      <c r="J77">
        <v>3</v>
      </c>
      <c r="K77">
        <v>1</v>
      </c>
      <c r="L77">
        <v>60</v>
      </c>
      <c r="M77" t="s">
        <v>19</v>
      </c>
      <c r="N77" t="str">
        <f>IF(tblCustomer[[#This Row],[Monthly Revenue]]&gt;=30000, "Tier 1 ", IF(tblCustomer[[#This Row],[Monthly Revenue]]&gt;= 15000,"Tier 2 ","Tier 3 "))</f>
        <v xml:space="preserve">Tier 3 </v>
      </c>
      <c r="O77" t="s">
        <v>1027</v>
      </c>
    </row>
    <row r="78" spans="1:15" x14ac:dyDescent="0.25">
      <c r="A78" t="s">
        <v>171</v>
      </c>
      <c r="B78" t="s">
        <v>172</v>
      </c>
      <c r="C78" t="s">
        <v>17</v>
      </c>
      <c r="D78" t="s">
        <v>10</v>
      </c>
      <c r="E78" t="s">
        <v>5</v>
      </c>
      <c r="F78">
        <v>44</v>
      </c>
      <c r="G78" t="b">
        <v>0</v>
      </c>
      <c r="H78" s="3">
        <v>32956</v>
      </c>
      <c r="I78" s="3">
        <v>395472</v>
      </c>
      <c r="J78">
        <v>3</v>
      </c>
      <c r="K78">
        <v>3</v>
      </c>
      <c r="L78">
        <v>30</v>
      </c>
      <c r="M78" t="s">
        <v>11</v>
      </c>
      <c r="N78" t="str">
        <f>IF(tblCustomer[[#This Row],[Monthly Revenue]]&gt;=30000, "Tier 1 ", IF(tblCustomer[[#This Row],[Monthly Revenue]]&gt;= 15000,"Tier 2 ","Tier 3 "))</f>
        <v xml:space="preserve">Tier 1 </v>
      </c>
      <c r="O78" t="s">
        <v>1027</v>
      </c>
    </row>
    <row r="79" spans="1:15" x14ac:dyDescent="0.25">
      <c r="A79" t="s">
        <v>173</v>
      </c>
      <c r="B79" t="s">
        <v>174</v>
      </c>
      <c r="C79" t="s">
        <v>3</v>
      </c>
      <c r="D79" t="s">
        <v>54</v>
      </c>
      <c r="E79" t="s">
        <v>22</v>
      </c>
      <c r="F79">
        <v>13</v>
      </c>
      <c r="G79" t="b">
        <v>0</v>
      </c>
      <c r="H79" s="3">
        <v>11567</v>
      </c>
      <c r="I79" s="3">
        <v>138804</v>
      </c>
      <c r="J79">
        <v>4</v>
      </c>
      <c r="K79">
        <v>0.75</v>
      </c>
      <c r="L79">
        <v>60</v>
      </c>
      <c r="M79" t="s">
        <v>19</v>
      </c>
      <c r="N79" t="str">
        <f>IF(tblCustomer[[#This Row],[Monthly Revenue]]&gt;=30000, "Tier 1 ", IF(tblCustomer[[#This Row],[Monthly Revenue]]&gt;= 15000,"Tier 2 ","Tier 3 "))</f>
        <v xml:space="preserve">Tier 3 </v>
      </c>
      <c r="O79" t="s">
        <v>1027</v>
      </c>
    </row>
    <row r="80" spans="1:15" x14ac:dyDescent="0.25">
      <c r="A80" t="s">
        <v>175</v>
      </c>
      <c r="B80" t="s">
        <v>176</v>
      </c>
      <c r="C80" t="s">
        <v>27</v>
      </c>
      <c r="D80" t="s">
        <v>4</v>
      </c>
      <c r="E80" t="s">
        <v>28</v>
      </c>
      <c r="F80">
        <v>4</v>
      </c>
      <c r="G80" t="b">
        <v>0</v>
      </c>
      <c r="H80" s="3">
        <v>25813</v>
      </c>
      <c r="I80" s="3">
        <v>309756</v>
      </c>
      <c r="J80">
        <v>1</v>
      </c>
      <c r="K80">
        <v>0</v>
      </c>
      <c r="L80">
        <v>30</v>
      </c>
      <c r="M80" t="s">
        <v>11</v>
      </c>
      <c r="N80" t="str">
        <f>IF(tblCustomer[[#This Row],[Monthly Revenue]]&gt;=30000, "Tier 1 ", IF(tblCustomer[[#This Row],[Monthly Revenue]]&gt;= 15000,"Tier 2 ","Tier 3 "))</f>
        <v xml:space="preserve">Tier 2 </v>
      </c>
      <c r="O80" t="s">
        <v>1032</v>
      </c>
    </row>
    <row r="81" spans="1:15" x14ac:dyDescent="0.25">
      <c r="A81" t="s">
        <v>177</v>
      </c>
      <c r="B81" t="s">
        <v>178</v>
      </c>
      <c r="C81" t="s">
        <v>3</v>
      </c>
      <c r="D81" t="s">
        <v>4</v>
      </c>
      <c r="E81" t="s">
        <v>28</v>
      </c>
      <c r="F81">
        <v>1</v>
      </c>
      <c r="G81" t="b">
        <v>1</v>
      </c>
      <c r="H81" s="3">
        <v>3511</v>
      </c>
      <c r="I81" s="3">
        <v>42132</v>
      </c>
      <c r="J81">
        <v>8</v>
      </c>
      <c r="K81">
        <v>1.25</v>
      </c>
      <c r="L81">
        <v>80</v>
      </c>
      <c r="M81" t="s">
        <v>19</v>
      </c>
      <c r="N81" t="str">
        <f>IF(tblCustomer[[#This Row],[Monthly Revenue]]&gt;=30000, "Tier 1 ", IF(tblCustomer[[#This Row],[Monthly Revenue]]&gt;= 15000,"Tier 2 ","Tier 3 "))</f>
        <v xml:space="preserve">Tier 3 </v>
      </c>
      <c r="O81" t="s">
        <v>1029</v>
      </c>
    </row>
    <row r="82" spans="1:15" x14ac:dyDescent="0.25">
      <c r="A82" t="s">
        <v>179</v>
      </c>
      <c r="B82" t="s">
        <v>180</v>
      </c>
      <c r="C82" t="s">
        <v>9</v>
      </c>
      <c r="D82" t="s">
        <v>18</v>
      </c>
      <c r="E82" t="s">
        <v>22</v>
      </c>
      <c r="F82">
        <v>56</v>
      </c>
      <c r="G82" t="b">
        <v>0</v>
      </c>
      <c r="H82" s="3">
        <v>36456</v>
      </c>
      <c r="I82" s="3">
        <v>437472</v>
      </c>
      <c r="J82">
        <v>3</v>
      </c>
      <c r="K82">
        <v>3</v>
      </c>
      <c r="L82">
        <v>30</v>
      </c>
      <c r="M82" t="s">
        <v>11</v>
      </c>
      <c r="N82" t="str">
        <f>IF(tblCustomer[[#This Row],[Monthly Revenue]]&gt;=30000, "Tier 1 ", IF(tblCustomer[[#This Row],[Monthly Revenue]]&gt;= 15000,"Tier 2 ","Tier 3 "))</f>
        <v xml:space="preserve">Tier 1 </v>
      </c>
      <c r="O82" t="s">
        <v>1028</v>
      </c>
    </row>
    <row r="83" spans="1:15" x14ac:dyDescent="0.25">
      <c r="A83" t="s">
        <v>181</v>
      </c>
      <c r="B83" t="s">
        <v>182</v>
      </c>
      <c r="C83" t="s">
        <v>17</v>
      </c>
      <c r="D83" t="s">
        <v>10</v>
      </c>
      <c r="E83" t="s">
        <v>5</v>
      </c>
      <c r="F83">
        <v>9</v>
      </c>
      <c r="G83" t="b">
        <v>0</v>
      </c>
      <c r="H83" s="3">
        <v>13532</v>
      </c>
      <c r="I83" s="3">
        <v>162384</v>
      </c>
      <c r="J83">
        <v>4</v>
      </c>
      <c r="K83">
        <v>2.5</v>
      </c>
      <c r="L83">
        <v>0</v>
      </c>
      <c r="M83" t="s">
        <v>11</v>
      </c>
      <c r="N83" t="str">
        <f>IF(tblCustomer[[#This Row],[Monthly Revenue]]&gt;=30000, "Tier 1 ", IF(tblCustomer[[#This Row],[Monthly Revenue]]&gt;= 15000,"Tier 2 ","Tier 3 "))</f>
        <v xml:space="preserve">Tier 3 </v>
      </c>
      <c r="O83" t="s">
        <v>1029</v>
      </c>
    </row>
    <row r="84" spans="1:15" x14ac:dyDescent="0.25">
      <c r="A84" t="s">
        <v>183</v>
      </c>
      <c r="B84" t="s">
        <v>184</v>
      </c>
      <c r="C84" t="s">
        <v>14</v>
      </c>
      <c r="D84" t="s">
        <v>4</v>
      </c>
      <c r="E84" t="s">
        <v>28</v>
      </c>
      <c r="F84">
        <v>11</v>
      </c>
      <c r="G84" t="b">
        <v>0</v>
      </c>
      <c r="H84" s="3">
        <v>34782</v>
      </c>
      <c r="I84" s="3">
        <v>417384</v>
      </c>
      <c r="J84">
        <v>3</v>
      </c>
      <c r="K84">
        <v>2.67</v>
      </c>
      <c r="L84">
        <v>30</v>
      </c>
      <c r="M84" t="s">
        <v>11</v>
      </c>
      <c r="N84" t="str">
        <f>IF(tblCustomer[[#This Row],[Monthly Revenue]]&gt;=30000, "Tier 1 ", IF(tblCustomer[[#This Row],[Monthly Revenue]]&gt;= 15000,"Tier 2 ","Tier 3 "))</f>
        <v xml:space="preserve">Tier 1 </v>
      </c>
      <c r="O84" t="s">
        <v>1032</v>
      </c>
    </row>
    <row r="85" spans="1:15" x14ac:dyDescent="0.25">
      <c r="A85" t="s">
        <v>185</v>
      </c>
      <c r="B85" t="s">
        <v>186</v>
      </c>
      <c r="C85" t="s">
        <v>9</v>
      </c>
      <c r="D85" t="s">
        <v>4</v>
      </c>
      <c r="E85" t="s">
        <v>28</v>
      </c>
      <c r="F85">
        <v>38</v>
      </c>
      <c r="G85" t="b">
        <v>0</v>
      </c>
      <c r="H85" s="3">
        <v>12312</v>
      </c>
      <c r="I85" s="3">
        <v>147744</v>
      </c>
      <c r="J85">
        <v>3</v>
      </c>
      <c r="K85">
        <v>1.33</v>
      </c>
      <c r="L85">
        <v>60</v>
      </c>
      <c r="M85" t="s">
        <v>19</v>
      </c>
      <c r="N85" t="str">
        <f>IF(tblCustomer[[#This Row],[Monthly Revenue]]&gt;=30000, "Tier 1 ", IF(tblCustomer[[#This Row],[Monthly Revenue]]&gt;= 15000,"Tier 2 ","Tier 3 "))</f>
        <v xml:space="preserve">Tier 3 </v>
      </c>
      <c r="O85" t="s">
        <v>1032</v>
      </c>
    </row>
    <row r="86" spans="1:15" x14ac:dyDescent="0.25">
      <c r="A86" t="s">
        <v>187</v>
      </c>
      <c r="B86" t="s">
        <v>188</v>
      </c>
      <c r="C86" t="s">
        <v>14</v>
      </c>
      <c r="D86" t="s">
        <v>4</v>
      </c>
      <c r="E86" t="s">
        <v>28</v>
      </c>
      <c r="F86">
        <v>38</v>
      </c>
      <c r="G86" t="b">
        <v>1</v>
      </c>
      <c r="H86" s="3">
        <v>19604</v>
      </c>
      <c r="I86" s="3">
        <v>235248</v>
      </c>
      <c r="J86">
        <v>1</v>
      </c>
      <c r="K86">
        <v>0</v>
      </c>
      <c r="L86">
        <v>60</v>
      </c>
      <c r="M86" t="s">
        <v>19</v>
      </c>
      <c r="N86" t="str">
        <f>IF(tblCustomer[[#This Row],[Monthly Revenue]]&gt;=30000, "Tier 1 ", IF(tblCustomer[[#This Row],[Monthly Revenue]]&gt;= 15000,"Tier 2 ","Tier 3 "))</f>
        <v xml:space="preserve">Tier 2 </v>
      </c>
      <c r="O86" t="s">
        <v>1028</v>
      </c>
    </row>
    <row r="87" spans="1:15" x14ac:dyDescent="0.25">
      <c r="A87" t="s">
        <v>189</v>
      </c>
      <c r="B87" t="s">
        <v>190</v>
      </c>
      <c r="C87" t="s">
        <v>9</v>
      </c>
      <c r="D87" t="s">
        <v>4</v>
      </c>
      <c r="E87" t="s">
        <v>28</v>
      </c>
      <c r="F87">
        <v>16</v>
      </c>
      <c r="G87" t="b">
        <v>0</v>
      </c>
      <c r="H87" s="3">
        <v>27506</v>
      </c>
      <c r="I87" s="3">
        <v>330072</v>
      </c>
      <c r="J87">
        <v>3</v>
      </c>
      <c r="K87">
        <v>1</v>
      </c>
      <c r="L87">
        <v>60</v>
      </c>
      <c r="M87" t="s">
        <v>19</v>
      </c>
      <c r="N87" t="str">
        <f>IF(tblCustomer[[#This Row],[Monthly Revenue]]&gt;=30000, "Tier 1 ", IF(tblCustomer[[#This Row],[Monthly Revenue]]&gt;= 15000,"Tier 2 ","Tier 3 "))</f>
        <v xml:space="preserve">Tier 2 </v>
      </c>
      <c r="O87" t="s">
        <v>1029</v>
      </c>
    </row>
    <row r="88" spans="1:15" x14ac:dyDescent="0.25">
      <c r="A88" t="s">
        <v>191</v>
      </c>
      <c r="B88" t="s">
        <v>192</v>
      </c>
      <c r="C88" t="s">
        <v>27</v>
      </c>
      <c r="D88" t="s">
        <v>71</v>
      </c>
      <c r="E88" t="s">
        <v>28</v>
      </c>
      <c r="F88">
        <v>16</v>
      </c>
      <c r="G88" t="b">
        <v>0</v>
      </c>
      <c r="H88" s="3">
        <v>23324</v>
      </c>
      <c r="I88" s="3">
        <v>279888</v>
      </c>
      <c r="J88">
        <v>7</v>
      </c>
      <c r="K88">
        <v>1.57</v>
      </c>
      <c r="L88">
        <v>55</v>
      </c>
      <c r="M88" t="s">
        <v>6</v>
      </c>
      <c r="N88" t="str">
        <f>IF(tblCustomer[[#This Row],[Monthly Revenue]]&gt;=30000, "Tier 1 ", IF(tblCustomer[[#This Row],[Monthly Revenue]]&gt;= 15000,"Tier 2 ","Tier 3 "))</f>
        <v xml:space="preserve">Tier 2 </v>
      </c>
      <c r="O88" t="s">
        <v>1029</v>
      </c>
    </row>
    <row r="89" spans="1:15" x14ac:dyDescent="0.25">
      <c r="A89" t="s">
        <v>193</v>
      </c>
      <c r="B89" t="s">
        <v>194</v>
      </c>
      <c r="C89" t="s">
        <v>17</v>
      </c>
      <c r="D89" t="s">
        <v>4</v>
      </c>
      <c r="E89" t="s">
        <v>28</v>
      </c>
      <c r="F89">
        <v>92</v>
      </c>
      <c r="G89" t="b">
        <v>0</v>
      </c>
      <c r="H89" s="3">
        <v>69184</v>
      </c>
      <c r="I89" s="3">
        <v>830208</v>
      </c>
      <c r="J89">
        <v>6</v>
      </c>
      <c r="K89">
        <v>3.5</v>
      </c>
      <c r="L89">
        <v>10</v>
      </c>
      <c r="M89" t="s">
        <v>11</v>
      </c>
      <c r="N89" t="str">
        <f>IF(tblCustomer[[#This Row],[Monthly Revenue]]&gt;=30000, "Tier 1 ", IF(tblCustomer[[#This Row],[Monthly Revenue]]&gt;= 15000,"Tier 2 ","Tier 3 "))</f>
        <v xml:space="preserve">Tier 1 </v>
      </c>
      <c r="O89" t="s">
        <v>1030</v>
      </c>
    </row>
    <row r="90" spans="1:15" x14ac:dyDescent="0.25">
      <c r="A90" t="s">
        <v>195</v>
      </c>
      <c r="B90" t="s">
        <v>196</v>
      </c>
      <c r="C90" t="s">
        <v>3</v>
      </c>
      <c r="D90" t="s">
        <v>71</v>
      </c>
      <c r="E90" t="s">
        <v>5</v>
      </c>
      <c r="F90">
        <v>41</v>
      </c>
      <c r="G90" t="b">
        <v>0</v>
      </c>
      <c r="H90" s="3">
        <v>21894</v>
      </c>
      <c r="I90" s="3">
        <v>262728</v>
      </c>
      <c r="J90">
        <v>0</v>
      </c>
      <c r="K90">
        <v>0</v>
      </c>
      <c r="L90">
        <v>0</v>
      </c>
      <c r="M90" t="s">
        <v>11</v>
      </c>
      <c r="N90" t="str">
        <f>IF(tblCustomer[[#This Row],[Monthly Revenue]]&gt;=30000, "Tier 1 ", IF(tblCustomer[[#This Row],[Monthly Revenue]]&gt;= 15000,"Tier 2 ","Tier 3 "))</f>
        <v xml:space="preserve">Tier 2 </v>
      </c>
      <c r="O90" t="s">
        <v>1029</v>
      </c>
    </row>
    <row r="91" spans="1:15" x14ac:dyDescent="0.25">
      <c r="A91" t="s">
        <v>197</v>
      </c>
      <c r="B91" t="s">
        <v>198</v>
      </c>
      <c r="C91" t="s">
        <v>27</v>
      </c>
      <c r="D91" t="s">
        <v>4</v>
      </c>
      <c r="E91" t="s">
        <v>28</v>
      </c>
      <c r="F91">
        <v>24</v>
      </c>
      <c r="G91" t="b">
        <v>0</v>
      </c>
      <c r="H91" s="3">
        <v>12617</v>
      </c>
      <c r="I91" s="3">
        <v>151404</v>
      </c>
      <c r="J91">
        <v>5</v>
      </c>
      <c r="K91">
        <v>3</v>
      </c>
      <c r="L91">
        <v>40</v>
      </c>
      <c r="M91" t="s">
        <v>6</v>
      </c>
      <c r="N91" t="str">
        <f>IF(tblCustomer[[#This Row],[Monthly Revenue]]&gt;=30000, "Tier 1 ", IF(tblCustomer[[#This Row],[Monthly Revenue]]&gt;= 15000,"Tier 2 ","Tier 3 "))</f>
        <v xml:space="preserve">Tier 3 </v>
      </c>
      <c r="O91" t="s">
        <v>1031</v>
      </c>
    </row>
    <row r="92" spans="1:15" x14ac:dyDescent="0.25">
      <c r="A92" t="s">
        <v>199</v>
      </c>
      <c r="B92" t="s">
        <v>200</v>
      </c>
      <c r="C92" t="s">
        <v>27</v>
      </c>
      <c r="D92" t="s">
        <v>4</v>
      </c>
      <c r="E92" t="s">
        <v>5</v>
      </c>
      <c r="F92">
        <v>33</v>
      </c>
      <c r="G92" t="b">
        <v>0</v>
      </c>
      <c r="H92" s="3">
        <v>10692</v>
      </c>
      <c r="I92" s="3">
        <v>128304</v>
      </c>
      <c r="J92">
        <v>3</v>
      </c>
      <c r="K92">
        <v>4.33</v>
      </c>
      <c r="L92">
        <v>30</v>
      </c>
      <c r="M92" t="s">
        <v>11</v>
      </c>
      <c r="N92" t="str">
        <f>IF(tblCustomer[[#This Row],[Monthly Revenue]]&gt;=30000, "Tier 1 ", IF(tblCustomer[[#This Row],[Monthly Revenue]]&gt;= 15000,"Tier 2 ","Tier 3 "))</f>
        <v xml:space="preserve">Tier 3 </v>
      </c>
      <c r="O92" t="s">
        <v>1032</v>
      </c>
    </row>
    <row r="93" spans="1:15" x14ac:dyDescent="0.25">
      <c r="A93" t="s">
        <v>201</v>
      </c>
      <c r="B93" t="s">
        <v>202</v>
      </c>
      <c r="C93" t="s">
        <v>17</v>
      </c>
      <c r="D93" t="s">
        <v>4</v>
      </c>
      <c r="E93" t="s">
        <v>22</v>
      </c>
      <c r="F93">
        <v>48</v>
      </c>
      <c r="G93" t="b">
        <v>0</v>
      </c>
      <c r="H93" s="3">
        <v>58404</v>
      </c>
      <c r="I93" s="3">
        <v>700848</v>
      </c>
      <c r="J93">
        <v>4</v>
      </c>
      <c r="K93">
        <v>3.5</v>
      </c>
      <c r="L93">
        <v>30</v>
      </c>
      <c r="M93" t="s">
        <v>11</v>
      </c>
      <c r="N93" t="str">
        <f>IF(tblCustomer[[#This Row],[Monthly Revenue]]&gt;=30000, "Tier 1 ", IF(tblCustomer[[#This Row],[Monthly Revenue]]&gt;= 15000,"Tier 2 ","Tier 3 "))</f>
        <v xml:space="preserve">Tier 1 </v>
      </c>
      <c r="O93" t="s">
        <v>1029</v>
      </c>
    </row>
    <row r="94" spans="1:15" x14ac:dyDescent="0.25">
      <c r="A94" t="s">
        <v>203</v>
      </c>
      <c r="B94" t="s">
        <v>204</v>
      </c>
      <c r="C94" t="s">
        <v>3</v>
      </c>
      <c r="D94" t="s">
        <v>4</v>
      </c>
      <c r="E94" t="s">
        <v>22</v>
      </c>
      <c r="F94">
        <v>32</v>
      </c>
      <c r="G94" t="b">
        <v>0</v>
      </c>
      <c r="H94" s="3">
        <v>16122</v>
      </c>
      <c r="I94" s="3">
        <v>193464</v>
      </c>
      <c r="J94">
        <v>6</v>
      </c>
      <c r="K94">
        <v>2.33</v>
      </c>
      <c r="L94">
        <v>55</v>
      </c>
      <c r="M94" t="s">
        <v>6</v>
      </c>
      <c r="N94" t="str">
        <f>IF(tblCustomer[[#This Row],[Monthly Revenue]]&gt;=30000, "Tier 1 ", IF(tblCustomer[[#This Row],[Monthly Revenue]]&gt;= 15000,"Tier 2 ","Tier 3 "))</f>
        <v xml:space="preserve">Tier 2 </v>
      </c>
      <c r="O94" t="s">
        <v>1029</v>
      </c>
    </row>
    <row r="95" spans="1:15" x14ac:dyDescent="0.25">
      <c r="A95" t="s">
        <v>205</v>
      </c>
      <c r="B95" t="s">
        <v>206</v>
      </c>
      <c r="C95" t="s">
        <v>9</v>
      </c>
      <c r="D95" t="s">
        <v>4</v>
      </c>
      <c r="E95" t="s">
        <v>22</v>
      </c>
      <c r="F95">
        <v>31</v>
      </c>
      <c r="G95" t="b">
        <v>0</v>
      </c>
      <c r="H95" s="3">
        <v>35519</v>
      </c>
      <c r="I95" s="3">
        <v>426228</v>
      </c>
      <c r="J95">
        <v>3</v>
      </c>
      <c r="K95">
        <v>2.33</v>
      </c>
      <c r="L95">
        <v>45</v>
      </c>
      <c r="M95" t="s">
        <v>6</v>
      </c>
      <c r="N95" t="str">
        <f>IF(tblCustomer[[#This Row],[Monthly Revenue]]&gt;=30000, "Tier 1 ", IF(tblCustomer[[#This Row],[Monthly Revenue]]&gt;= 15000,"Tier 2 ","Tier 3 "))</f>
        <v xml:space="preserve">Tier 1 </v>
      </c>
      <c r="O95" t="s">
        <v>1030</v>
      </c>
    </row>
    <row r="96" spans="1:15" x14ac:dyDescent="0.25">
      <c r="A96" t="s">
        <v>207</v>
      </c>
      <c r="B96" t="s">
        <v>208</v>
      </c>
      <c r="C96" t="s">
        <v>17</v>
      </c>
      <c r="D96" t="s">
        <v>4</v>
      </c>
      <c r="E96" t="s">
        <v>22</v>
      </c>
      <c r="F96">
        <v>9</v>
      </c>
      <c r="G96" t="b">
        <v>0</v>
      </c>
      <c r="H96" s="3">
        <v>28701</v>
      </c>
      <c r="I96" s="3">
        <v>344412</v>
      </c>
      <c r="J96">
        <v>4</v>
      </c>
      <c r="K96">
        <v>2.25</v>
      </c>
      <c r="L96">
        <v>15</v>
      </c>
      <c r="M96" t="s">
        <v>11</v>
      </c>
      <c r="N96" t="str">
        <f>IF(tblCustomer[[#This Row],[Monthly Revenue]]&gt;=30000, "Tier 1 ", IF(tblCustomer[[#This Row],[Monthly Revenue]]&gt;= 15000,"Tier 2 ","Tier 3 "))</f>
        <v xml:space="preserve">Tier 2 </v>
      </c>
      <c r="O96" t="s">
        <v>1029</v>
      </c>
    </row>
    <row r="97" spans="1:15" x14ac:dyDescent="0.25">
      <c r="A97" t="s">
        <v>209</v>
      </c>
      <c r="B97" t="s">
        <v>210</v>
      </c>
      <c r="C97" t="s">
        <v>17</v>
      </c>
      <c r="D97" t="s">
        <v>4</v>
      </c>
      <c r="E97" t="s">
        <v>28</v>
      </c>
      <c r="F97">
        <v>1</v>
      </c>
      <c r="G97" t="b">
        <v>0</v>
      </c>
      <c r="H97" s="3">
        <v>22675</v>
      </c>
      <c r="I97" s="3">
        <v>272100</v>
      </c>
      <c r="J97">
        <v>8</v>
      </c>
      <c r="K97">
        <v>2.5</v>
      </c>
      <c r="L97">
        <v>20</v>
      </c>
      <c r="M97" t="s">
        <v>11</v>
      </c>
      <c r="N97" t="str">
        <f>IF(tblCustomer[[#This Row],[Monthly Revenue]]&gt;=30000, "Tier 1 ", IF(tblCustomer[[#This Row],[Monthly Revenue]]&gt;= 15000,"Tier 2 ","Tier 3 "))</f>
        <v xml:space="preserve">Tier 2 </v>
      </c>
      <c r="O97" t="s">
        <v>1028</v>
      </c>
    </row>
    <row r="98" spans="1:15" x14ac:dyDescent="0.25">
      <c r="A98" t="s">
        <v>211</v>
      </c>
      <c r="B98" t="s">
        <v>212</v>
      </c>
      <c r="C98" t="s">
        <v>27</v>
      </c>
      <c r="D98" t="s">
        <v>4</v>
      </c>
      <c r="E98" t="s">
        <v>28</v>
      </c>
      <c r="F98">
        <v>6</v>
      </c>
      <c r="G98" t="b">
        <v>1</v>
      </c>
      <c r="H98" s="3">
        <v>14048</v>
      </c>
      <c r="I98" s="3">
        <v>168576</v>
      </c>
      <c r="J98">
        <v>2</v>
      </c>
      <c r="K98">
        <v>4</v>
      </c>
      <c r="L98">
        <v>0</v>
      </c>
      <c r="M98" t="s">
        <v>11</v>
      </c>
      <c r="N98" t="str">
        <f>IF(tblCustomer[[#This Row],[Monthly Revenue]]&gt;=30000, "Tier 1 ", IF(tblCustomer[[#This Row],[Monthly Revenue]]&gt;= 15000,"Tier 2 ","Tier 3 "))</f>
        <v xml:space="preserve">Tier 3 </v>
      </c>
      <c r="O98" t="s">
        <v>1031</v>
      </c>
    </row>
    <row r="99" spans="1:15" x14ac:dyDescent="0.25">
      <c r="A99" t="s">
        <v>213</v>
      </c>
      <c r="B99" t="s">
        <v>214</v>
      </c>
      <c r="C99" t="s">
        <v>14</v>
      </c>
      <c r="D99" t="s">
        <v>18</v>
      </c>
      <c r="E99" t="s">
        <v>22</v>
      </c>
      <c r="F99">
        <v>1</v>
      </c>
      <c r="G99" t="b">
        <v>0</v>
      </c>
      <c r="H99" s="3">
        <v>20497</v>
      </c>
      <c r="I99" s="3">
        <v>245964</v>
      </c>
      <c r="J99">
        <v>3</v>
      </c>
      <c r="K99">
        <v>1.33</v>
      </c>
      <c r="L99">
        <v>30</v>
      </c>
      <c r="M99" t="s">
        <v>11</v>
      </c>
      <c r="N99" t="str">
        <f>IF(tblCustomer[[#This Row],[Monthly Revenue]]&gt;=30000, "Tier 1 ", IF(tblCustomer[[#This Row],[Monthly Revenue]]&gt;= 15000,"Tier 2 ","Tier 3 "))</f>
        <v xml:space="preserve">Tier 2 </v>
      </c>
      <c r="O99" t="s">
        <v>1028</v>
      </c>
    </row>
    <row r="100" spans="1:15" x14ac:dyDescent="0.25">
      <c r="A100" t="s">
        <v>215</v>
      </c>
      <c r="B100" t="s">
        <v>216</v>
      </c>
      <c r="C100" t="s">
        <v>27</v>
      </c>
      <c r="D100" t="s">
        <v>4</v>
      </c>
      <c r="E100" t="s">
        <v>28</v>
      </c>
      <c r="F100">
        <v>2</v>
      </c>
      <c r="G100" t="b">
        <v>0</v>
      </c>
      <c r="H100" s="3">
        <v>26608</v>
      </c>
      <c r="I100" s="3">
        <v>319296</v>
      </c>
      <c r="J100">
        <v>3</v>
      </c>
      <c r="K100">
        <v>2.33</v>
      </c>
      <c r="L100">
        <v>15</v>
      </c>
      <c r="M100" t="s">
        <v>11</v>
      </c>
      <c r="N100" t="str">
        <f>IF(tblCustomer[[#This Row],[Monthly Revenue]]&gt;=30000, "Tier 1 ", IF(tblCustomer[[#This Row],[Monthly Revenue]]&gt;= 15000,"Tier 2 ","Tier 3 "))</f>
        <v xml:space="preserve">Tier 2 </v>
      </c>
      <c r="O100" t="s">
        <v>1030</v>
      </c>
    </row>
    <row r="101" spans="1:15" x14ac:dyDescent="0.25">
      <c r="A101" t="s">
        <v>217</v>
      </c>
      <c r="B101" t="s">
        <v>218</v>
      </c>
      <c r="C101" t="s">
        <v>9</v>
      </c>
      <c r="D101" t="s">
        <v>4</v>
      </c>
      <c r="E101" t="s">
        <v>22</v>
      </c>
      <c r="F101">
        <v>4</v>
      </c>
      <c r="G101" t="b">
        <v>1</v>
      </c>
      <c r="H101" s="3">
        <v>17884</v>
      </c>
      <c r="I101" s="3">
        <v>214608</v>
      </c>
      <c r="J101">
        <v>9</v>
      </c>
      <c r="K101">
        <v>1.33</v>
      </c>
      <c r="L101">
        <v>50</v>
      </c>
      <c r="M101" t="s">
        <v>6</v>
      </c>
      <c r="N101" t="str">
        <f>IF(tblCustomer[[#This Row],[Monthly Revenue]]&gt;=30000, "Tier 1 ", IF(tblCustomer[[#This Row],[Monthly Revenue]]&gt;= 15000,"Tier 2 ","Tier 3 "))</f>
        <v xml:space="preserve">Tier 2 </v>
      </c>
      <c r="O101" t="s">
        <v>1031</v>
      </c>
    </row>
    <row r="102" spans="1:15" x14ac:dyDescent="0.25">
      <c r="A102" t="s">
        <v>219</v>
      </c>
      <c r="B102" t="s">
        <v>220</v>
      </c>
      <c r="C102" t="s">
        <v>27</v>
      </c>
      <c r="D102" t="s">
        <v>4</v>
      </c>
      <c r="E102" t="s">
        <v>22</v>
      </c>
      <c r="F102">
        <v>1</v>
      </c>
      <c r="G102" t="b">
        <v>0</v>
      </c>
      <c r="H102" s="3">
        <v>3831</v>
      </c>
      <c r="I102" s="3">
        <v>45972</v>
      </c>
      <c r="J102">
        <v>8</v>
      </c>
      <c r="K102">
        <v>3.12</v>
      </c>
      <c r="L102">
        <v>50</v>
      </c>
      <c r="M102" t="s">
        <v>6</v>
      </c>
      <c r="N102" t="str">
        <f>IF(tblCustomer[[#This Row],[Monthly Revenue]]&gt;=30000, "Tier 1 ", IF(tblCustomer[[#This Row],[Monthly Revenue]]&gt;= 15000,"Tier 2 ","Tier 3 "))</f>
        <v xml:space="preserve">Tier 3 </v>
      </c>
      <c r="O102" t="s">
        <v>1028</v>
      </c>
    </row>
    <row r="103" spans="1:15" x14ac:dyDescent="0.25">
      <c r="A103" t="s">
        <v>221</v>
      </c>
      <c r="B103" t="s">
        <v>222</v>
      </c>
      <c r="C103" t="s">
        <v>17</v>
      </c>
      <c r="D103" t="s">
        <v>4</v>
      </c>
      <c r="E103" t="s">
        <v>22</v>
      </c>
      <c r="F103">
        <v>20</v>
      </c>
      <c r="G103" t="b">
        <v>0</v>
      </c>
      <c r="H103" s="3">
        <v>20989</v>
      </c>
      <c r="I103" s="3">
        <v>251868</v>
      </c>
      <c r="J103">
        <v>7</v>
      </c>
      <c r="K103">
        <v>2</v>
      </c>
      <c r="L103">
        <v>25</v>
      </c>
      <c r="M103" t="s">
        <v>11</v>
      </c>
      <c r="N103" t="str">
        <f>IF(tblCustomer[[#This Row],[Monthly Revenue]]&gt;=30000, "Tier 1 ", IF(tblCustomer[[#This Row],[Monthly Revenue]]&gt;= 15000,"Tier 2 ","Tier 3 "))</f>
        <v xml:space="preserve">Tier 2 </v>
      </c>
      <c r="O103" t="s">
        <v>1028</v>
      </c>
    </row>
    <row r="104" spans="1:15" x14ac:dyDescent="0.25">
      <c r="A104" t="s">
        <v>223</v>
      </c>
      <c r="B104" t="s">
        <v>224</v>
      </c>
      <c r="C104" t="s">
        <v>27</v>
      </c>
      <c r="D104" t="s">
        <v>4</v>
      </c>
      <c r="E104" t="s">
        <v>28</v>
      </c>
      <c r="F104">
        <v>14</v>
      </c>
      <c r="G104" t="b">
        <v>0</v>
      </c>
      <c r="H104" s="3">
        <v>13646</v>
      </c>
      <c r="I104" s="3">
        <v>163752</v>
      </c>
      <c r="J104">
        <v>5</v>
      </c>
      <c r="K104">
        <v>2.4</v>
      </c>
      <c r="L104">
        <v>55</v>
      </c>
      <c r="M104" t="s">
        <v>6</v>
      </c>
      <c r="N104" t="str">
        <f>IF(tblCustomer[[#This Row],[Monthly Revenue]]&gt;=30000, "Tier 1 ", IF(tblCustomer[[#This Row],[Monthly Revenue]]&gt;= 15000,"Tier 2 ","Tier 3 "))</f>
        <v xml:space="preserve">Tier 3 </v>
      </c>
      <c r="O104" t="s">
        <v>1031</v>
      </c>
    </row>
    <row r="105" spans="1:15" x14ac:dyDescent="0.25">
      <c r="A105" t="s">
        <v>225</v>
      </c>
      <c r="B105" t="s">
        <v>226</v>
      </c>
      <c r="C105" t="s">
        <v>9</v>
      </c>
      <c r="D105" t="s">
        <v>18</v>
      </c>
      <c r="E105" t="s">
        <v>5</v>
      </c>
      <c r="F105">
        <v>6</v>
      </c>
      <c r="G105" t="b">
        <v>1</v>
      </c>
      <c r="H105" s="3">
        <v>8721</v>
      </c>
      <c r="I105" s="3">
        <v>104652</v>
      </c>
      <c r="J105">
        <v>4</v>
      </c>
      <c r="K105">
        <v>2.75</v>
      </c>
      <c r="L105">
        <v>30</v>
      </c>
      <c r="M105" t="s">
        <v>11</v>
      </c>
      <c r="N105" t="str">
        <f>IF(tblCustomer[[#This Row],[Monthly Revenue]]&gt;=30000, "Tier 1 ", IF(tblCustomer[[#This Row],[Monthly Revenue]]&gt;= 15000,"Tier 2 ","Tier 3 "))</f>
        <v xml:space="preserve">Tier 3 </v>
      </c>
      <c r="O105" t="s">
        <v>1028</v>
      </c>
    </row>
    <row r="106" spans="1:15" x14ac:dyDescent="0.25">
      <c r="A106" t="s">
        <v>227</v>
      </c>
      <c r="B106" t="s">
        <v>228</v>
      </c>
      <c r="C106" t="s">
        <v>3</v>
      </c>
      <c r="D106" t="s">
        <v>4</v>
      </c>
      <c r="E106" t="s">
        <v>22</v>
      </c>
      <c r="F106">
        <v>1</v>
      </c>
      <c r="G106" t="b">
        <v>0</v>
      </c>
      <c r="H106" s="3">
        <v>13096</v>
      </c>
      <c r="I106" s="3">
        <v>157152</v>
      </c>
      <c r="J106">
        <v>6</v>
      </c>
      <c r="K106">
        <v>2.17</v>
      </c>
      <c r="L106">
        <v>55</v>
      </c>
      <c r="M106" t="s">
        <v>6</v>
      </c>
      <c r="N106" t="str">
        <f>IF(tblCustomer[[#This Row],[Monthly Revenue]]&gt;=30000, "Tier 1 ", IF(tblCustomer[[#This Row],[Monthly Revenue]]&gt;= 15000,"Tier 2 ","Tier 3 "))</f>
        <v xml:space="preserve">Tier 3 </v>
      </c>
      <c r="O106" t="s">
        <v>1029</v>
      </c>
    </row>
    <row r="107" spans="1:15" x14ac:dyDescent="0.25">
      <c r="A107" t="s">
        <v>229</v>
      </c>
      <c r="B107" t="s">
        <v>230</v>
      </c>
      <c r="C107" t="s">
        <v>14</v>
      </c>
      <c r="D107" t="s">
        <v>4</v>
      </c>
      <c r="E107" t="s">
        <v>5</v>
      </c>
      <c r="F107">
        <v>23</v>
      </c>
      <c r="G107" t="b">
        <v>1</v>
      </c>
      <c r="H107" s="3">
        <v>34136</v>
      </c>
      <c r="I107" s="3">
        <v>409632</v>
      </c>
      <c r="J107">
        <v>3</v>
      </c>
      <c r="K107">
        <v>1.33</v>
      </c>
      <c r="L107">
        <v>60</v>
      </c>
      <c r="M107" t="s">
        <v>19</v>
      </c>
      <c r="N107" t="str">
        <f>IF(tblCustomer[[#This Row],[Monthly Revenue]]&gt;=30000, "Tier 1 ", IF(tblCustomer[[#This Row],[Monthly Revenue]]&gt;= 15000,"Tier 2 ","Tier 3 "))</f>
        <v xml:space="preserve">Tier 1 </v>
      </c>
      <c r="O107" t="s">
        <v>1029</v>
      </c>
    </row>
    <row r="108" spans="1:15" x14ac:dyDescent="0.25">
      <c r="A108" t="s">
        <v>231</v>
      </c>
      <c r="B108" t="s">
        <v>232</v>
      </c>
      <c r="C108" t="s">
        <v>14</v>
      </c>
      <c r="D108" t="s">
        <v>4</v>
      </c>
      <c r="E108" t="s">
        <v>5</v>
      </c>
      <c r="F108">
        <v>3</v>
      </c>
      <c r="G108" t="b">
        <v>0</v>
      </c>
      <c r="H108" s="3">
        <v>7451</v>
      </c>
      <c r="I108" s="3">
        <v>89412</v>
      </c>
      <c r="J108">
        <v>5</v>
      </c>
      <c r="K108">
        <v>1</v>
      </c>
      <c r="L108">
        <v>40</v>
      </c>
      <c r="M108" t="s">
        <v>6</v>
      </c>
      <c r="N108" t="str">
        <f>IF(tblCustomer[[#This Row],[Monthly Revenue]]&gt;=30000, "Tier 1 ", IF(tblCustomer[[#This Row],[Monthly Revenue]]&gt;= 15000,"Tier 2 ","Tier 3 "))</f>
        <v xml:space="preserve">Tier 3 </v>
      </c>
      <c r="O108" t="s">
        <v>1030</v>
      </c>
    </row>
    <row r="109" spans="1:15" x14ac:dyDescent="0.25">
      <c r="A109" t="s">
        <v>233</v>
      </c>
      <c r="B109" t="s">
        <v>234</v>
      </c>
      <c r="C109" t="s">
        <v>3</v>
      </c>
      <c r="D109" t="s">
        <v>71</v>
      </c>
      <c r="E109" t="s">
        <v>28</v>
      </c>
      <c r="F109">
        <v>25</v>
      </c>
      <c r="G109" t="b">
        <v>0</v>
      </c>
      <c r="H109" s="3">
        <v>36420</v>
      </c>
      <c r="I109" s="3">
        <v>437040</v>
      </c>
      <c r="J109">
        <v>0</v>
      </c>
      <c r="K109">
        <v>0</v>
      </c>
      <c r="L109">
        <v>30</v>
      </c>
      <c r="M109" t="s">
        <v>11</v>
      </c>
      <c r="N109" t="str">
        <f>IF(tblCustomer[[#This Row],[Monthly Revenue]]&gt;=30000, "Tier 1 ", IF(tblCustomer[[#This Row],[Monthly Revenue]]&gt;= 15000,"Tier 2 ","Tier 3 "))</f>
        <v xml:space="preserve">Tier 1 </v>
      </c>
      <c r="O109" t="s">
        <v>1027</v>
      </c>
    </row>
    <row r="110" spans="1:15" x14ac:dyDescent="0.25">
      <c r="A110" t="s">
        <v>235</v>
      </c>
      <c r="B110" t="s">
        <v>236</v>
      </c>
      <c r="C110" t="s">
        <v>9</v>
      </c>
      <c r="D110" t="s">
        <v>33</v>
      </c>
      <c r="E110" t="s">
        <v>28</v>
      </c>
      <c r="F110">
        <v>61</v>
      </c>
      <c r="G110" t="b">
        <v>0</v>
      </c>
      <c r="H110" s="3">
        <v>45872</v>
      </c>
      <c r="I110" s="3">
        <v>550464</v>
      </c>
      <c r="J110">
        <v>5</v>
      </c>
      <c r="K110">
        <v>1.4</v>
      </c>
      <c r="L110">
        <v>70</v>
      </c>
      <c r="M110" t="s">
        <v>19</v>
      </c>
      <c r="N110" t="str">
        <f>IF(tblCustomer[[#This Row],[Monthly Revenue]]&gt;=30000, "Tier 1 ", IF(tblCustomer[[#This Row],[Monthly Revenue]]&gt;= 15000,"Tier 2 ","Tier 3 "))</f>
        <v xml:space="preserve">Tier 1 </v>
      </c>
      <c r="O110" t="s">
        <v>1028</v>
      </c>
    </row>
    <row r="111" spans="1:15" x14ac:dyDescent="0.25">
      <c r="A111" t="s">
        <v>237</v>
      </c>
      <c r="B111" t="s">
        <v>238</v>
      </c>
      <c r="C111" t="s">
        <v>17</v>
      </c>
      <c r="D111" t="s">
        <v>4</v>
      </c>
      <c r="E111" t="s">
        <v>28</v>
      </c>
      <c r="F111">
        <v>18</v>
      </c>
      <c r="G111" t="b">
        <v>0</v>
      </c>
      <c r="H111" s="3">
        <v>20604</v>
      </c>
      <c r="I111" s="3">
        <v>247248</v>
      </c>
      <c r="J111">
        <v>5</v>
      </c>
      <c r="K111">
        <v>1.8</v>
      </c>
      <c r="L111">
        <v>55</v>
      </c>
      <c r="M111" t="s">
        <v>6</v>
      </c>
      <c r="N111" t="str">
        <f>IF(tblCustomer[[#This Row],[Monthly Revenue]]&gt;=30000, "Tier 1 ", IF(tblCustomer[[#This Row],[Monthly Revenue]]&gt;= 15000,"Tier 2 ","Tier 3 "))</f>
        <v xml:space="preserve">Tier 2 </v>
      </c>
      <c r="O111" t="s">
        <v>1031</v>
      </c>
    </row>
    <row r="112" spans="1:15" x14ac:dyDescent="0.25">
      <c r="A112" t="s">
        <v>239</v>
      </c>
      <c r="B112" t="s">
        <v>240</v>
      </c>
      <c r="C112" t="s">
        <v>14</v>
      </c>
      <c r="D112" t="s">
        <v>18</v>
      </c>
      <c r="E112" t="s">
        <v>22</v>
      </c>
      <c r="F112">
        <v>8</v>
      </c>
      <c r="G112" t="b">
        <v>1</v>
      </c>
      <c r="H112" s="3">
        <v>17111</v>
      </c>
      <c r="I112" s="3">
        <v>205332</v>
      </c>
      <c r="J112">
        <v>5</v>
      </c>
      <c r="K112">
        <v>2</v>
      </c>
      <c r="L112">
        <v>55</v>
      </c>
      <c r="M112" t="s">
        <v>6</v>
      </c>
      <c r="N112" t="str">
        <f>IF(tblCustomer[[#This Row],[Monthly Revenue]]&gt;=30000, "Tier 1 ", IF(tblCustomer[[#This Row],[Monthly Revenue]]&gt;= 15000,"Tier 2 ","Tier 3 "))</f>
        <v xml:space="preserve">Tier 2 </v>
      </c>
      <c r="O112" t="s">
        <v>1030</v>
      </c>
    </row>
    <row r="113" spans="1:15" x14ac:dyDescent="0.25">
      <c r="A113" t="s">
        <v>241</v>
      </c>
      <c r="B113" t="s">
        <v>242</v>
      </c>
      <c r="C113" t="s">
        <v>14</v>
      </c>
      <c r="D113" t="s">
        <v>18</v>
      </c>
      <c r="E113" t="s">
        <v>28</v>
      </c>
      <c r="F113">
        <v>2</v>
      </c>
      <c r="G113" t="b">
        <v>1</v>
      </c>
      <c r="H113" s="3">
        <v>7503</v>
      </c>
      <c r="I113" s="3">
        <v>90036</v>
      </c>
      <c r="J113">
        <v>4</v>
      </c>
      <c r="K113">
        <v>0.75</v>
      </c>
      <c r="L113">
        <v>60</v>
      </c>
      <c r="M113" t="s">
        <v>19</v>
      </c>
      <c r="N113" t="str">
        <f>IF(tblCustomer[[#This Row],[Monthly Revenue]]&gt;=30000, "Tier 1 ", IF(tblCustomer[[#This Row],[Monthly Revenue]]&gt;= 15000,"Tier 2 ","Tier 3 "))</f>
        <v xml:space="preserve">Tier 3 </v>
      </c>
      <c r="O113" t="s">
        <v>1027</v>
      </c>
    </row>
    <row r="114" spans="1:15" x14ac:dyDescent="0.25">
      <c r="A114" t="s">
        <v>243</v>
      </c>
      <c r="B114" t="s">
        <v>244</v>
      </c>
      <c r="C114" t="s">
        <v>14</v>
      </c>
      <c r="D114" t="s">
        <v>71</v>
      </c>
      <c r="E114" t="s">
        <v>28</v>
      </c>
      <c r="F114">
        <v>38</v>
      </c>
      <c r="G114" t="b">
        <v>0</v>
      </c>
      <c r="H114" s="3">
        <v>18430</v>
      </c>
      <c r="I114" s="3">
        <v>221160</v>
      </c>
      <c r="J114">
        <v>3</v>
      </c>
      <c r="K114">
        <v>3.67</v>
      </c>
      <c r="L114">
        <v>0</v>
      </c>
      <c r="M114" t="s">
        <v>11</v>
      </c>
      <c r="N114" t="str">
        <f>IF(tblCustomer[[#This Row],[Monthly Revenue]]&gt;=30000, "Tier 1 ", IF(tblCustomer[[#This Row],[Monthly Revenue]]&gt;= 15000,"Tier 2 ","Tier 3 "))</f>
        <v xml:space="preserve">Tier 2 </v>
      </c>
      <c r="O114" t="s">
        <v>1032</v>
      </c>
    </row>
    <row r="115" spans="1:15" x14ac:dyDescent="0.25">
      <c r="A115" t="s">
        <v>245</v>
      </c>
      <c r="B115" t="s">
        <v>246</v>
      </c>
      <c r="C115" t="s">
        <v>9</v>
      </c>
      <c r="D115" t="s">
        <v>33</v>
      </c>
      <c r="E115" t="s">
        <v>22</v>
      </c>
      <c r="F115">
        <v>2</v>
      </c>
      <c r="G115" t="b">
        <v>0</v>
      </c>
      <c r="H115" s="3">
        <v>24076</v>
      </c>
      <c r="I115" s="3">
        <v>288912</v>
      </c>
      <c r="J115">
        <v>3</v>
      </c>
      <c r="K115">
        <v>1.67</v>
      </c>
      <c r="L115">
        <v>45</v>
      </c>
      <c r="M115" t="s">
        <v>6</v>
      </c>
      <c r="N115" t="str">
        <f>IF(tblCustomer[[#This Row],[Monthly Revenue]]&gt;=30000, "Tier 1 ", IF(tblCustomer[[#This Row],[Monthly Revenue]]&gt;= 15000,"Tier 2 ","Tier 3 "))</f>
        <v xml:space="preserve">Tier 2 </v>
      </c>
      <c r="O115" t="s">
        <v>1030</v>
      </c>
    </row>
    <row r="116" spans="1:15" x14ac:dyDescent="0.25">
      <c r="A116" t="s">
        <v>247</v>
      </c>
      <c r="B116" t="s">
        <v>248</v>
      </c>
      <c r="C116" t="s">
        <v>9</v>
      </c>
      <c r="D116" t="s">
        <v>4</v>
      </c>
      <c r="E116" t="s">
        <v>22</v>
      </c>
      <c r="F116">
        <v>3</v>
      </c>
      <c r="G116" t="b">
        <v>0</v>
      </c>
      <c r="H116" s="3">
        <v>24084</v>
      </c>
      <c r="I116" s="3">
        <v>289008</v>
      </c>
      <c r="J116">
        <v>5</v>
      </c>
      <c r="K116">
        <v>1.6</v>
      </c>
      <c r="L116">
        <v>25</v>
      </c>
      <c r="M116" t="s">
        <v>11</v>
      </c>
      <c r="N116" t="str">
        <f>IF(tblCustomer[[#This Row],[Monthly Revenue]]&gt;=30000, "Tier 1 ", IF(tblCustomer[[#This Row],[Monthly Revenue]]&gt;= 15000,"Tier 2 ","Tier 3 "))</f>
        <v xml:space="preserve">Tier 2 </v>
      </c>
      <c r="O116" t="s">
        <v>1032</v>
      </c>
    </row>
    <row r="117" spans="1:15" x14ac:dyDescent="0.25">
      <c r="A117" t="s">
        <v>249</v>
      </c>
      <c r="B117" t="s">
        <v>250</v>
      </c>
      <c r="C117" t="s">
        <v>9</v>
      </c>
      <c r="D117" t="s">
        <v>4</v>
      </c>
      <c r="E117" t="s">
        <v>22</v>
      </c>
      <c r="F117">
        <v>19</v>
      </c>
      <c r="G117" t="b">
        <v>1</v>
      </c>
      <c r="H117" s="3">
        <v>13484</v>
      </c>
      <c r="I117" s="3">
        <v>161808</v>
      </c>
      <c r="J117">
        <v>6</v>
      </c>
      <c r="K117">
        <v>3.83</v>
      </c>
      <c r="L117">
        <v>40</v>
      </c>
      <c r="M117" t="s">
        <v>6</v>
      </c>
      <c r="N117" t="str">
        <f>IF(tblCustomer[[#This Row],[Monthly Revenue]]&gt;=30000, "Tier 1 ", IF(tblCustomer[[#This Row],[Monthly Revenue]]&gt;= 15000,"Tier 2 ","Tier 3 "))</f>
        <v xml:space="preserve">Tier 3 </v>
      </c>
      <c r="O117" t="s">
        <v>1032</v>
      </c>
    </row>
    <row r="118" spans="1:15" x14ac:dyDescent="0.25">
      <c r="A118" t="s">
        <v>251</v>
      </c>
      <c r="B118" t="s">
        <v>252</v>
      </c>
      <c r="C118" t="s">
        <v>9</v>
      </c>
      <c r="D118" t="s">
        <v>4</v>
      </c>
      <c r="E118" t="s">
        <v>22</v>
      </c>
      <c r="F118">
        <v>9</v>
      </c>
      <c r="G118" t="b">
        <v>0</v>
      </c>
      <c r="H118" s="3">
        <v>10659</v>
      </c>
      <c r="I118" s="3">
        <v>127908</v>
      </c>
      <c r="J118">
        <v>4</v>
      </c>
      <c r="K118">
        <v>0</v>
      </c>
      <c r="L118">
        <v>30</v>
      </c>
      <c r="M118" t="s">
        <v>11</v>
      </c>
      <c r="N118" t="str">
        <f>IF(tblCustomer[[#This Row],[Monthly Revenue]]&gt;=30000, "Tier 1 ", IF(tblCustomer[[#This Row],[Monthly Revenue]]&gt;= 15000,"Tier 2 ","Tier 3 "))</f>
        <v xml:space="preserve">Tier 3 </v>
      </c>
      <c r="O118" t="s">
        <v>1031</v>
      </c>
    </row>
    <row r="119" spans="1:15" x14ac:dyDescent="0.25">
      <c r="A119" t="s">
        <v>253</v>
      </c>
      <c r="B119" t="s">
        <v>254</v>
      </c>
      <c r="C119" t="s">
        <v>9</v>
      </c>
      <c r="D119" t="s">
        <v>4</v>
      </c>
      <c r="E119" t="s">
        <v>28</v>
      </c>
      <c r="F119">
        <v>38</v>
      </c>
      <c r="G119" t="b">
        <v>1</v>
      </c>
      <c r="H119" s="3">
        <v>25034</v>
      </c>
      <c r="I119" s="3">
        <v>300408</v>
      </c>
      <c r="J119">
        <v>5</v>
      </c>
      <c r="K119">
        <v>3.4</v>
      </c>
      <c r="L119">
        <v>10</v>
      </c>
      <c r="M119" t="s">
        <v>11</v>
      </c>
      <c r="N119" t="str">
        <f>IF(tblCustomer[[#This Row],[Monthly Revenue]]&gt;=30000, "Tier 1 ", IF(tblCustomer[[#This Row],[Monthly Revenue]]&gt;= 15000,"Tier 2 ","Tier 3 "))</f>
        <v xml:space="preserve">Tier 2 </v>
      </c>
      <c r="O119" t="s">
        <v>1031</v>
      </c>
    </row>
    <row r="120" spans="1:15" x14ac:dyDescent="0.25">
      <c r="A120" t="s">
        <v>255</v>
      </c>
      <c r="B120" t="s">
        <v>256</v>
      </c>
      <c r="C120" t="s">
        <v>14</v>
      </c>
      <c r="D120" t="s">
        <v>4</v>
      </c>
      <c r="E120" t="s">
        <v>28</v>
      </c>
      <c r="F120">
        <v>1</v>
      </c>
      <c r="G120" t="b">
        <v>1</v>
      </c>
      <c r="H120" s="3">
        <v>8916</v>
      </c>
      <c r="I120" s="3">
        <v>106992</v>
      </c>
      <c r="J120">
        <v>3</v>
      </c>
      <c r="K120">
        <v>4</v>
      </c>
      <c r="L120">
        <v>30</v>
      </c>
      <c r="M120" t="s">
        <v>11</v>
      </c>
      <c r="N120" t="str">
        <f>IF(tblCustomer[[#This Row],[Monthly Revenue]]&gt;=30000, "Tier 1 ", IF(tblCustomer[[#This Row],[Monthly Revenue]]&gt;= 15000,"Tier 2 ","Tier 3 "))</f>
        <v xml:space="preserve">Tier 3 </v>
      </c>
      <c r="O120" t="s">
        <v>1031</v>
      </c>
    </row>
    <row r="121" spans="1:15" x14ac:dyDescent="0.25">
      <c r="A121" t="s">
        <v>257</v>
      </c>
      <c r="B121" t="s">
        <v>258</v>
      </c>
      <c r="C121" t="s">
        <v>17</v>
      </c>
      <c r="D121" t="s">
        <v>54</v>
      </c>
      <c r="E121" t="s">
        <v>22</v>
      </c>
      <c r="F121">
        <v>17</v>
      </c>
      <c r="G121" t="b">
        <v>0</v>
      </c>
      <c r="H121" s="3">
        <v>24274</v>
      </c>
      <c r="I121" s="3">
        <v>291288</v>
      </c>
      <c r="J121">
        <v>3</v>
      </c>
      <c r="K121">
        <v>1.67</v>
      </c>
      <c r="L121">
        <v>15</v>
      </c>
      <c r="M121" t="s">
        <v>11</v>
      </c>
      <c r="N121" t="str">
        <f>IF(tblCustomer[[#This Row],[Monthly Revenue]]&gt;=30000, "Tier 1 ", IF(tblCustomer[[#This Row],[Monthly Revenue]]&gt;= 15000,"Tier 2 ","Tier 3 "))</f>
        <v xml:space="preserve">Tier 2 </v>
      </c>
      <c r="O121" t="s">
        <v>1029</v>
      </c>
    </row>
    <row r="122" spans="1:15" x14ac:dyDescent="0.25">
      <c r="A122" t="s">
        <v>259</v>
      </c>
      <c r="B122" t="s">
        <v>260</v>
      </c>
      <c r="C122" t="s">
        <v>14</v>
      </c>
      <c r="D122" t="s">
        <v>4</v>
      </c>
      <c r="E122" t="s">
        <v>28</v>
      </c>
      <c r="F122">
        <v>9</v>
      </c>
      <c r="G122" t="b">
        <v>0</v>
      </c>
      <c r="H122" s="3">
        <v>34392</v>
      </c>
      <c r="I122" s="3">
        <v>412704</v>
      </c>
      <c r="J122">
        <v>2</v>
      </c>
      <c r="K122">
        <v>2.5</v>
      </c>
      <c r="L122">
        <v>30</v>
      </c>
      <c r="M122" t="s">
        <v>11</v>
      </c>
      <c r="N122" t="str">
        <f>IF(tblCustomer[[#This Row],[Monthly Revenue]]&gt;=30000, "Tier 1 ", IF(tblCustomer[[#This Row],[Monthly Revenue]]&gt;= 15000,"Tier 2 ","Tier 3 "))</f>
        <v xml:space="preserve">Tier 1 </v>
      </c>
      <c r="O122" t="s">
        <v>1027</v>
      </c>
    </row>
    <row r="123" spans="1:15" x14ac:dyDescent="0.25">
      <c r="A123" t="s">
        <v>261</v>
      </c>
      <c r="B123" t="s">
        <v>262</v>
      </c>
      <c r="C123" t="s">
        <v>14</v>
      </c>
      <c r="D123" t="s">
        <v>4</v>
      </c>
      <c r="E123" t="s">
        <v>22</v>
      </c>
      <c r="F123">
        <v>15</v>
      </c>
      <c r="G123" t="b">
        <v>0</v>
      </c>
      <c r="H123" s="3">
        <v>12548</v>
      </c>
      <c r="I123" s="3">
        <v>150576</v>
      </c>
      <c r="J123">
        <v>5</v>
      </c>
      <c r="K123">
        <v>3.2</v>
      </c>
      <c r="L123">
        <v>10</v>
      </c>
      <c r="M123" t="s">
        <v>11</v>
      </c>
      <c r="N123" t="str">
        <f>IF(tblCustomer[[#This Row],[Monthly Revenue]]&gt;=30000, "Tier 1 ", IF(tblCustomer[[#This Row],[Monthly Revenue]]&gt;= 15000,"Tier 2 ","Tier 3 "))</f>
        <v xml:space="preserve">Tier 3 </v>
      </c>
      <c r="O123" t="s">
        <v>1031</v>
      </c>
    </row>
    <row r="124" spans="1:15" x14ac:dyDescent="0.25">
      <c r="A124" t="s">
        <v>263</v>
      </c>
      <c r="B124" t="s">
        <v>264</v>
      </c>
      <c r="C124" t="s">
        <v>14</v>
      </c>
      <c r="D124" t="s">
        <v>4</v>
      </c>
      <c r="E124" t="s">
        <v>28</v>
      </c>
      <c r="F124">
        <v>64</v>
      </c>
      <c r="G124" t="b">
        <v>1</v>
      </c>
      <c r="H124" s="3">
        <v>37312</v>
      </c>
      <c r="I124" s="3">
        <v>447744</v>
      </c>
      <c r="J124">
        <v>3</v>
      </c>
      <c r="K124">
        <v>1</v>
      </c>
      <c r="L124">
        <v>60</v>
      </c>
      <c r="M124" t="s">
        <v>19</v>
      </c>
      <c r="N124" t="str">
        <f>IF(tblCustomer[[#This Row],[Monthly Revenue]]&gt;=30000, "Tier 1 ", IF(tblCustomer[[#This Row],[Monthly Revenue]]&gt;= 15000,"Tier 2 ","Tier 3 "))</f>
        <v xml:space="preserve">Tier 1 </v>
      </c>
      <c r="O124" t="s">
        <v>1031</v>
      </c>
    </row>
    <row r="125" spans="1:15" x14ac:dyDescent="0.25">
      <c r="A125" t="s">
        <v>265</v>
      </c>
      <c r="B125" t="s">
        <v>266</v>
      </c>
      <c r="C125" t="s">
        <v>14</v>
      </c>
      <c r="D125" t="s">
        <v>4</v>
      </c>
      <c r="E125" t="s">
        <v>22</v>
      </c>
      <c r="F125">
        <v>1</v>
      </c>
      <c r="G125" t="b">
        <v>1</v>
      </c>
      <c r="H125" s="3">
        <v>16139</v>
      </c>
      <c r="I125" s="3">
        <v>193668</v>
      </c>
      <c r="J125">
        <v>3</v>
      </c>
      <c r="K125">
        <v>2.67</v>
      </c>
      <c r="L125">
        <v>30</v>
      </c>
      <c r="M125" t="s">
        <v>11</v>
      </c>
      <c r="N125" t="str">
        <f>IF(tblCustomer[[#This Row],[Monthly Revenue]]&gt;=30000, "Tier 1 ", IF(tblCustomer[[#This Row],[Monthly Revenue]]&gt;= 15000,"Tier 2 ","Tier 3 "))</f>
        <v xml:space="preserve">Tier 2 </v>
      </c>
      <c r="O125" t="s">
        <v>1030</v>
      </c>
    </row>
    <row r="126" spans="1:15" x14ac:dyDescent="0.25">
      <c r="A126" t="s">
        <v>267</v>
      </c>
      <c r="B126" t="s">
        <v>268</v>
      </c>
      <c r="C126" t="s">
        <v>14</v>
      </c>
      <c r="D126" t="s">
        <v>54</v>
      </c>
      <c r="E126" t="s">
        <v>22</v>
      </c>
      <c r="F126">
        <v>1</v>
      </c>
      <c r="G126" t="b">
        <v>1</v>
      </c>
      <c r="H126" s="3">
        <v>20683</v>
      </c>
      <c r="I126" s="3">
        <v>248196</v>
      </c>
      <c r="J126">
        <v>3</v>
      </c>
      <c r="K126">
        <v>4.33</v>
      </c>
      <c r="L126">
        <v>30</v>
      </c>
      <c r="M126" t="s">
        <v>11</v>
      </c>
      <c r="N126" t="str">
        <f>IF(tblCustomer[[#This Row],[Monthly Revenue]]&gt;=30000, "Tier 1 ", IF(tblCustomer[[#This Row],[Monthly Revenue]]&gt;= 15000,"Tier 2 ","Tier 3 "))</f>
        <v xml:space="preserve">Tier 2 </v>
      </c>
      <c r="O126" t="s">
        <v>1030</v>
      </c>
    </row>
    <row r="127" spans="1:15" x14ac:dyDescent="0.25">
      <c r="A127" t="s">
        <v>269</v>
      </c>
      <c r="B127" t="s">
        <v>270</v>
      </c>
      <c r="C127" t="s">
        <v>14</v>
      </c>
      <c r="D127" t="s">
        <v>4</v>
      </c>
      <c r="E127" t="s">
        <v>5</v>
      </c>
      <c r="F127">
        <v>7</v>
      </c>
      <c r="G127" t="b">
        <v>1</v>
      </c>
      <c r="H127" s="3">
        <v>29155</v>
      </c>
      <c r="I127" s="3">
        <v>349860</v>
      </c>
      <c r="J127">
        <v>3</v>
      </c>
      <c r="K127">
        <v>4</v>
      </c>
      <c r="L127">
        <v>30</v>
      </c>
      <c r="M127" t="s">
        <v>11</v>
      </c>
      <c r="N127" t="str">
        <f>IF(tblCustomer[[#This Row],[Monthly Revenue]]&gt;=30000, "Tier 1 ", IF(tblCustomer[[#This Row],[Monthly Revenue]]&gt;= 15000,"Tier 2 ","Tier 3 "))</f>
        <v xml:space="preserve">Tier 2 </v>
      </c>
      <c r="O127" t="s">
        <v>1028</v>
      </c>
    </row>
    <row r="128" spans="1:15" x14ac:dyDescent="0.25">
      <c r="A128" t="s">
        <v>271</v>
      </c>
      <c r="B128" t="s">
        <v>272</v>
      </c>
      <c r="C128" t="s">
        <v>14</v>
      </c>
      <c r="D128" t="s">
        <v>4</v>
      </c>
      <c r="E128" t="s">
        <v>5</v>
      </c>
      <c r="F128">
        <v>33</v>
      </c>
      <c r="G128" t="b">
        <v>1</v>
      </c>
      <c r="H128" s="3">
        <v>18249</v>
      </c>
      <c r="I128" s="3">
        <v>218988</v>
      </c>
      <c r="J128">
        <v>7</v>
      </c>
      <c r="K128">
        <v>2.71</v>
      </c>
      <c r="L128">
        <v>10</v>
      </c>
      <c r="M128" t="s">
        <v>11</v>
      </c>
      <c r="N128" t="str">
        <f>IF(tblCustomer[[#This Row],[Monthly Revenue]]&gt;=30000, "Tier 1 ", IF(tblCustomer[[#This Row],[Monthly Revenue]]&gt;= 15000,"Tier 2 ","Tier 3 "))</f>
        <v xml:space="preserve">Tier 2 </v>
      </c>
      <c r="O128" t="s">
        <v>1029</v>
      </c>
    </row>
    <row r="129" spans="1:15" x14ac:dyDescent="0.25">
      <c r="A129" t="s">
        <v>273</v>
      </c>
      <c r="B129" t="s">
        <v>274</v>
      </c>
      <c r="C129" t="s">
        <v>27</v>
      </c>
      <c r="D129" t="s">
        <v>4</v>
      </c>
      <c r="E129" t="s">
        <v>28</v>
      </c>
      <c r="F129">
        <v>23</v>
      </c>
      <c r="G129" t="b">
        <v>0</v>
      </c>
      <c r="H129" s="3">
        <v>16592</v>
      </c>
      <c r="I129" s="3">
        <v>199104</v>
      </c>
      <c r="J129">
        <v>1</v>
      </c>
      <c r="K129">
        <v>0</v>
      </c>
      <c r="L129">
        <v>30</v>
      </c>
      <c r="M129" t="s">
        <v>11</v>
      </c>
      <c r="N129" t="str">
        <f>IF(tblCustomer[[#This Row],[Monthly Revenue]]&gt;=30000, "Tier 1 ", IF(tblCustomer[[#This Row],[Monthly Revenue]]&gt;= 15000,"Tier 2 ","Tier 3 "))</f>
        <v xml:space="preserve">Tier 2 </v>
      </c>
      <c r="O129" t="s">
        <v>1031</v>
      </c>
    </row>
    <row r="130" spans="1:15" x14ac:dyDescent="0.25">
      <c r="A130" t="s">
        <v>275</v>
      </c>
      <c r="B130" t="s">
        <v>276</v>
      </c>
      <c r="C130" t="s">
        <v>27</v>
      </c>
      <c r="D130" t="s">
        <v>10</v>
      </c>
      <c r="E130" t="s">
        <v>28</v>
      </c>
      <c r="F130">
        <v>26</v>
      </c>
      <c r="G130" t="b">
        <v>0</v>
      </c>
      <c r="H130" s="3">
        <v>19250</v>
      </c>
      <c r="I130" s="3">
        <v>231000</v>
      </c>
      <c r="J130">
        <v>4</v>
      </c>
      <c r="K130">
        <v>3</v>
      </c>
      <c r="L130">
        <v>30</v>
      </c>
      <c r="M130" t="s">
        <v>11</v>
      </c>
      <c r="N130" t="str">
        <f>IF(tblCustomer[[#This Row],[Monthly Revenue]]&gt;=30000, "Tier 1 ", IF(tblCustomer[[#This Row],[Monthly Revenue]]&gt;= 15000,"Tier 2 ","Tier 3 "))</f>
        <v xml:space="preserve">Tier 2 </v>
      </c>
      <c r="O130" t="s">
        <v>1028</v>
      </c>
    </row>
    <row r="131" spans="1:15" x14ac:dyDescent="0.25">
      <c r="A131" t="s">
        <v>277</v>
      </c>
      <c r="B131" t="s">
        <v>278</v>
      </c>
      <c r="C131" t="s">
        <v>27</v>
      </c>
      <c r="D131" t="s">
        <v>33</v>
      </c>
      <c r="E131" t="s">
        <v>5</v>
      </c>
      <c r="F131">
        <v>3</v>
      </c>
      <c r="G131" t="b">
        <v>0</v>
      </c>
      <c r="H131" s="3">
        <v>14638</v>
      </c>
      <c r="I131" s="3">
        <v>175656</v>
      </c>
      <c r="J131">
        <v>2</v>
      </c>
      <c r="K131">
        <v>1.5</v>
      </c>
      <c r="L131">
        <v>45</v>
      </c>
      <c r="M131" t="s">
        <v>6</v>
      </c>
      <c r="N131" t="str">
        <f>IF(tblCustomer[[#This Row],[Monthly Revenue]]&gt;=30000, "Tier 1 ", IF(tblCustomer[[#This Row],[Monthly Revenue]]&gt;= 15000,"Tier 2 ","Tier 3 "))</f>
        <v xml:space="preserve">Tier 3 </v>
      </c>
      <c r="O131" t="s">
        <v>1029</v>
      </c>
    </row>
    <row r="132" spans="1:15" x14ac:dyDescent="0.25">
      <c r="A132" t="s">
        <v>279</v>
      </c>
      <c r="B132" t="s">
        <v>280</v>
      </c>
      <c r="C132" t="s">
        <v>3</v>
      </c>
      <c r="D132" t="s">
        <v>90</v>
      </c>
      <c r="E132" t="s">
        <v>5</v>
      </c>
      <c r="F132">
        <v>93</v>
      </c>
      <c r="G132" t="b">
        <v>0</v>
      </c>
      <c r="H132" s="3">
        <v>83886</v>
      </c>
      <c r="I132" s="3">
        <v>1006632</v>
      </c>
      <c r="J132">
        <v>1</v>
      </c>
      <c r="K132">
        <v>3</v>
      </c>
      <c r="L132">
        <v>0</v>
      </c>
      <c r="M132" t="s">
        <v>11</v>
      </c>
      <c r="N132" t="str">
        <f>IF(tblCustomer[[#This Row],[Monthly Revenue]]&gt;=30000, "Tier 1 ", IF(tblCustomer[[#This Row],[Monthly Revenue]]&gt;= 15000,"Tier 2 ","Tier 3 "))</f>
        <v xml:space="preserve">Tier 1 </v>
      </c>
      <c r="O132" t="s">
        <v>1027</v>
      </c>
    </row>
    <row r="133" spans="1:15" x14ac:dyDescent="0.25">
      <c r="A133" t="s">
        <v>281</v>
      </c>
      <c r="B133" t="s">
        <v>282</v>
      </c>
      <c r="C133" t="s">
        <v>3</v>
      </c>
      <c r="D133" t="s">
        <v>10</v>
      </c>
      <c r="E133" t="s">
        <v>5</v>
      </c>
      <c r="F133">
        <v>29</v>
      </c>
      <c r="G133" t="b">
        <v>0</v>
      </c>
      <c r="H133" s="3">
        <v>5771</v>
      </c>
      <c r="I133" s="3">
        <v>69252</v>
      </c>
      <c r="J133">
        <v>6</v>
      </c>
      <c r="K133">
        <v>1.83</v>
      </c>
      <c r="L133">
        <v>25</v>
      </c>
      <c r="M133" t="s">
        <v>11</v>
      </c>
      <c r="N133" t="str">
        <f>IF(tblCustomer[[#This Row],[Monthly Revenue]]&gt;=30000, "Tier 1 ", IF(tblCustomer[[#This Row],[Monthly Revenue]]&gt;= 15000,"Tier 2 ","Tier 3 "))</f>
        <v xml:space="preserve">Tier 3 </v>
      </c>
      <c r="O133" t="s">
        <v>1028</v>
      </c>
    </row>
    <row r="134" spans="1:15" x14ac:dyDescent="0.25">
      <c r="A134" t="s">
        <v>283</v>
      </c>
      <c r="B134" t="s">
        <v>284</v>
      </c>
      <c r="C134" t="s">
        <v>9</v>
      </c>
      <c r="D134" t="s">
        <v>33</v>
      </c>
      <c r="E134" t="s">
        <v>5</v>
      </c>
      <c r="F134">
        <v>39</v>
      </c>
      <c r="G134" t="b">
        <v>0</v>
      </c>
      <c r="H134" s="3">
        <v>7693</v>
      </c>
      <c r="I134" s="3">
        <v>92316</v>
      </c>
      <c r="J134">
        <v>4</v>
      </c>
      <c r="K134">
        <v>2</v>
      </c>
      <c r="L134">
        <v>45</v>
      </c>
      <c r="M134" t="s">
        <v>6</v>
      </c>
      <c r="N134" t="str">
        <f>IF(tblCustomer[[#This Row],[Monthly Revenue]]&gt;=30000, "Tier 1 ", IF(tblCustomer[[#This Row],[Monthly Revenue]]&gt;= 15000,"Tier 2 ","Tier 3 "))</f>
        <v xml:space="preserve">Tier 3 </v>
      </c>
      <c r="O134" t="s">
        <v>1027</v>
      </c>
    </row>
    <row r="135" spans="1:15" x14ac:dyDescent="0.25">
      <c r="A135" t="s">
        <v>285</v>
      </c>
      <c r="B135" t="s">
        <v>286</v>
      </c>
      <c r="C135" t="s">
        <v>9</v>
      </c>
      <c r="D135" t="s">
        <v>4</v>
      </c>
      <c r="E135" t="s">
        <v>22</v>
      </c>
      <c r="F135">
        <v>28</v>
      </c>
      <c r="G135" t="b">
        <v>0</v>
      </c>
      <c r="H135" s="3">
        <v>42403</v>
      </c>
      <c r="I135" s="3">
        <v>508836</v>
      </c>
      <c r="J135">
        <v>5</v>
      </c>
      <c r="K135">
        <v>1</v>
      </c>
      <c r="L135">
        <v>70</v>
      </c>
      <c r="M135" t="s">
        <v>19</v>
      </c>
      <c r="N135" t="str">
        <f>IF(tblCustomer[[#This Row],[Monthly Revenue]]&gt;=30000, "Tier 1 ", IF(tblCustomer[[#This Row],[Monthly Revenue]]&gt;= 15000,"Tier 2 ","Tier 3 "))</f>
        <v xml:space="preserve">Tier 1 </v>
      </c>
      <c r="O135" t="s">
        <v>1030</v>
      </c>
    </row>
    <row r="136" spans="1:15" x14ac:dyDescent="0.25">
      <c r="A136" t="s">
        <v>287</v>
      </c>
      <c r="B136" t="s">
        <v>288</v>
      </c>
      <c r="C136" t="s">
        <v>14</v>
      </c>
      <c r="D136" t="s">
        <v>18</v>
      </c>
      <c r="E136" t="s">
        <v>5</v>
      </c>
      <c r="F136">
        <v>14</v>
      </c>
      <c r="G136" t="b">
        <v>0</v>
      </c>
      <c r="H136" s="3">
        <v>15468</v>
      </c>
      <c r="I136" s="3">
        <v>185616</v>
      </c>
      <c r="J136">
        <v>5</v>
      </c>
      <c r="K136">
        <v>2.6</v>
      </c>
      <c r="L136">
        <v>40</v>
      </c>
      <c r="M136" t="s">
        <v>6</v>
      </c>
      <c r="N136" t="str">
        <f>IF(tblCustomer[[#This Row],[Monthly Revenue]]&gt;=30000, "Tier 1 ", IF(tblCustomer[[#This Row],[Monthly Revenue]]&gt;= 15000,"Tier 2 ","Tier 3 "))</f>
        <v xml:space="preserve">Tier 2 </v>
      </c>
      <c r="O136" t="s">
        <v>1031</v>
      </c>
    </row>
    <row r="137" spans="1:15" x14ac:dyDescent="0.25">
      <c r="A137" t="s">
        <v>289</v>
      </c>
      <c r="B137" t="s">
        <v>290</v>
      </c>
      <c r="C137" t="s">
        <v>17</v>
      </c>
      <c r="D137" t="s">
        <v>90</v>
      </c>
      <c r="E137" t="s">
        <v>5</v>
      </c>
      <c r="F137">
        <v>45</v>
      </c>
      <c r="G137" t="b">
        <v>1</v>
      </c>
      <c r="H137" s="3">
        <v>12015</v>
      </c>
      <c r="I137" s="3">
        <v>144180</v>
      </c>
      <c r="J137">
        <v>6</v>
      </c>
      <c r="K137">
        <v>1.83</v>
      </c>
      <c r="L137">
        <v>55</v>
      </c>
      <c r="M137" t="s">
        <v>6</v>
      </c>
      <c r="N137" t="str">
        <f>IF(tblCustomer[[#This Row],[Monthly Revenue]]&gt;=30000, "Tier 1 ", IF(tblCustomer[[#This Row],[Monthly Revenue]]&gt;= 15000,"Tier 2 ","Tier 3 "))</f>
        <v xml:space="preserve">Tier 3 </v>
      </c>
      <c r="O137" t="s">
        <v>1028</v>
      </c>
    </row>
    <row r="138" spans="1:15" x14ac:dyDescent="0.25">
      <c r="A138" t="s">
        <v>291</v>
      </c>
      <c r="B138" t="s">
        <v>292</v>
      </c>
      <c r="C138" t="s">
        <v>3</v>
      </c>
      <c r="D138" t="s">
        <v>4</v>
      </c>
      <c r="E138" t="s">
        <v>22</v>
      </c>
      <c r="F138">
        <v>47</v>
      </c>
      <c r="G138" t="b">
        <v>0</v>
      </c>
      <c r="H138" s="3">
        <v>19006</v>
      </c>
      <c r="I138" s="3">
        <v>228072</v>
      </c>
      <c r="J138">
        <v>4</v>
      </c>
      <c r="K138">
        <v>1.25</v>
      </c>
      <c r="L138">
        <v>60</v>
      </c>
      <c r="M138" t="s">
        <v>19</v>
      </c>
      <c r="N138" t="str">
        <f>IF(tblCustomer[[#This Row],[Monthly Revenue]]&gt;=30000, "Tier 1 ", IF(tblCustomer[[#This Row],[Monthly Revenue]]&gt;= 15000,"Tier 2 ","Tier 3 "))</f>
        <v xml:space="preserve">Tier 2 </v>
      </c>
      <c r="O138" t="s">
        <v>1027</v>
      </c>
    </row>
    <row r="139" spans="1:15" x14ac:dyDescent="0.25">
      <c r="A139" t="s">
        <v>293</v>
      </c>
      <c r="B139" t="s">
        <v>294</v>
      </c>
      <c r="C139" t="s">
        <v>14</v>
      </c>
      <c r="D139" t="s">
        <v>4</v>
      </c>
      <c r="E139" t="s">
        <v>5</v>
      </c>
      <c r="F139">
        <v>59</v>
      </c>
      <c r="G139" t="b">
        <v>0</v>
      </c>
      <c r="H139" s="3">
        <v>30385</v>
      </c>
      <c r="I139" s="3">
        <v>364620</v>
      </c>
      <c r="J139">
        <v>7</v>
      </c>
      <c r="K139">
        <v>3</v>
      </c>
      <c r="L139">
        <v>10</v>
      </c>
      <c r="M139" t="s">
        <v>11</v>
      </c>
      <c r="N139" t="str">
        <f>IF(tblCustomer[[#This Row],[Monthly Revenue]]&gt;=30000, "Tier 1 ", IF(tblCustomer[[#This Row],[Monthly Revenue]]&gt;= 15000,"Tier 2 ","Tier 3 "))</f>
        <v xml:space="preserve">Tier 1 </v>
      </c>
      <c r="O139" t="s">
        <v>1032</v>
      </c>
    </row>
    <row r="140" spans="1:15" x14ac:dyDescent="0.25">
      <c r="A140" t="s">
        <v>295</v>
      </c>
      <c r="B140" t="s">
        <v>296</v>
      </c>
      <c r="C140" t="s">
        <v>9</v>
      </c>
      <c r="D140" t="s">
        <v>4</v>
      </c>
      <c r="E140" t="s">
        <v>22</v>
      </c>
      <c r="F140">
        <v>19</v>
      </c>
      <c r="G140" t="b">
        <v>0</v>
      </c>
      <c r="H140" s="3">
        <v>33122</v>
      </c>
      <c r="I140" s="3">
        <v>397464</v>
      </c>
      <c r="J140">
        <v>3</v>
      </c>
      <c r="K140">
        <v>3</v>
      </c>
      <c r="L140">
        <v>30</v>
      </c>
      <c r="M140" t="s">
        <v>11</v>
      </c>
      <c r="N140" t="str">
        <f>IF(tblCustomer[[#This Row],[Monthly Revenue]]&gt;=30000, "Tier 1 ", IF(tblCustomer[[#This Row],[Monthly Revenue]]&gt;= 15000,"Tier 2 ","Tier 3 "))</f>
        <v xml:space="preserve">Tier 1 </v>
      </c>
      <c r="O140" t="s">
        <v>1032</v>
      </c>
    </row>
    <row r="141" spans="1:15" x14ac:dyDescent="0.25">
      <c r="A141" t="s">
        <v>297</v>
      </c>
      <c r="B141" t="s">
        <v>298</v>
      </c>
      <c r="C141" t="s">
        <v>3</v>
      </c>
      <c r="D141" t="s">
        <v>10</v>
      </c>
      <c r="E141" t="s">
        <v>5</v>
      </c>
      <c r="F141">
        <v>7</v>
      </c>
      <c r="G141" t="b">
        <v>0</v>
      </c>
      <c r="H141" s="3">
        <v>12422</v>
      </c>
      <c r="I141" s="3">
        <v>149064</v>
      </c>
      <c r="J141">
        <v>4</v>
      </c>
      <c r="K141">
        <v>1.25</v>
      </c>
      <c r="L141">
        <v>60</v>
      </c>
      <c r="M141" t="s">
        <v>19</v>
      </c>
      <c r="N141" t="str">
        <f>IF(tblCustomer[[#This Row],[Monthly Revenue]]&gt;=30000, "Tier 1 ", IF(tblCustomer[[#This Row],[Monthly Revenue]]&gt;= 15000,"Tier 2 ","Tier 3 "))</f>
        <v xml:space="preserve">Tier 3 </v>
      </c>
      <c r="O141" t="s">
        <v>1029</v>
      </c>
    </row>
    <row r="142" spans="1:15" x14ac:dyDescent="0.25">
      <c r="A142" t="s">
        <v>299</v>
      </c>
      <c r="B142" t="s">
        <v>300</v>
      </c>
      <c r="C142" t="s">
        <v>17</v>
      </c>
      <c r="D142" t="s">
        <v>4</v>
      </c>
      <c r="E142" t="s">
        <v>5</v>
      </c>
      <c r="F142">
        <v>31</v>
      </c>
      <c r="G142" t="b">
        <v>1</v>
      </c>
      <c r="H142" s="3">
        <v>44077</v>
      </c>
      <c r="I142" s="3">
        <v>528924</v>
      </c>
      <c r="J142">
        <v>6</v>
      </c>
      <c r="K142">
        <v>2.5</v>
      </c>
      <c r="L142">
        <v>10</v>
      </c>
      <c r="M142" t="s">
        <v>11</v>
      </c>
      <c r="N142" t="str">
        <f>IF(tblCustomer[[#This Row],[Monthly Revenue]]&gt;=30000, "Tier 1 ", IF(tblCustomer[[#This Row],[Monthly Revenue]]&gt;= 15000,"Tier 2 ","Tier 3 "))</f>
        <v xml:space="preserve">Tier 1 </v>
      </c>
      <c r="O142" t="s">
        <v>1030</v>
      </c>
    </row>
    <row r="143" spans="1:15" x14ac:dyDescent="0.25">
      <c r="A143" t="s">
        <v>301</v>
      </c>
      <c r="B143" t="s">
        <v>302</v>
      </c>
      <c r="C143" t="s">
        <v>27</v>
      </c>
      <c r="D143" t="s">
        <v>4</v>
      </c>
      <c r="E143" t="s">
        <v>28</v>
      </c>
      <c r="F143">
        <v>13</v>
      </c>
      <c r="G143" t="b">
        <v>0</v>
      </c>
      <c r="H143" s="3">
        <v>10963</v>
      </c>
      <c r="I143" s="3">
        <v>131556</v>
      </c>
      <c r="J143">
        <v>3</v>
      </c>
      <c r="K143">
        <v>1.67</v>
      </c>
      <c r="L143">
        <v>15</v>
      </c>
      <c r="M143" t="s">
        <v>11</v>
      </c>
      <c r="N143" t="str">
        <f>IF(tblCustomer[[#This Row],[Monthly Revenue]]&gt;=30000, "Tier 1 ", IF(tblCustomer[[#This Row],[Monthly Revenue]]&gt;= 15000,"Tier 2 ","Tier 3 "))</f>
        <v xml:space="preserve">Tier 3 </v>
      </c>
      <c r="O143" t="s">
        <v>1028</v>
      </c>
    </row>
    <row r="144" spans="1:15" x14ac:dyDescent="0.25">
      <c r="A144" t="s">
        <v>303</v>
      </c>
      <c r="B144" t="s">
        <v>304</v>
      </c>
      <c r="C144" t="s">
        <v>14</v>
      </c>
      <c r="D144" t="s">
        <v>90</v>
      </c>
      <c r="E144" t="s">
        <v>22</v>
      </c>
      <c r="F144">
        <v>11</v>
      </c>
      <c r="G144" t="b">
        <v>0</v>
      </c>
      <c r="H144" s="3">
        <v>8353</v>
      </c>
      <c r="I144" s="3">
        <v>100236</v>
      </c>
      <c r="J144">
        <v>2</v>
      </c>
      <c r="K144">
        <v>1.5</v>
      </c>
      <c r="L144">
        <v>15</v>
      </c>
      <c r="M144" t="s">
        <v>11</v>
      </c>
      <c r="N144" t="str">
        <f>IF(tblCustomer[[#This Row],[Monthly Revenue]]&gt;=30000, "Tier 1 ", IF(tblCustomer[[#This Row],[Monthly Revenue]]&gt;= 15000,"Tier 2 ","Tier 3 "))</f>
        <v xml:space="preserve">Tier 3 </v>
      </c>
      <c r="O144" t="s">
        <v>1029</v>
      </c>
    </row>
    <row r="145" spans="1:15" x14ac:dyDescent="0.25">
      <c r="A145" t="s">
        <v>305</v>
      </c>
      <c r="B145" t="s">
        <v>306</v>
      </c>
      <c r="C145" t="s">
        <v>14</v>
      </c>
      <c r="D145" t="s">
        <v>4</v>
      </c>
      <c r="E145" t="s">
        <v>22</v>
      </c>
      <c r="F145">
        <v>2</v>
      </c>
      <c r="G145" t="b">
        <v>0</v>
      </c>
      <c r="H145" s="3">
        <v>11730</v>
      </c>
      <c r="I145" s="3">
        <v>140760</v>
      </c>
      <c r="J145">
        <v>2</v>
      </c>
      <c r="K145">
        <v>3</v>
      </c>
      <c r="L145">
        <v>30</v>
      </c>
      <c r="M145" t="s">
        <v>11</v>
      </c>
      <c r="N145" t="str">
        <f>IF(tblCustomer[[#This Row],[Monthly Revenue]]&gt;=30000, "Tier 1 ", IF(tblCustomer[[#This Row],[Monthly Revenue]]&gt;= 15000,"Tier 2 ","Tier 3 "))</f>
        <v xml:space="preserve">Tier 3 </v>
      </c>
      <c r="O145" t="s">
        <v>1027</v>
      </c>
    </row>
    <row r="146" spans="1:15" x14ac:dyDescent="0.25">
      <c r="A146" t="s">
        <v>307</v>
      </c>
      <c r="B146" t="s">
        <v>308</v>
      </c>
      <c r="C146" t="s">
        <v>17</v>
      </c>
      <c r="D146" t="s">
        <v>33</v>
      </c>
      <c r="E146" t="s">
        <v>28</v>
      </c>
      <c r="F146">
        <v>19</v>
      </c>
      <c r="G146" t="b">
        <v>1</v>
      </c>
      <c r="H146" s="3">
        <v>14087</v>
      </c>
      <c r="I146" s="3">
        <v>169044</v>
      </c>
      <c r="J146">
        <v>6</v>
      </c>
      <c r="K146">
        <v>2.17</v>
      </c>
      <c r="L146">
        <v>25</v>
      </c>
      <c r="M146" t="s">
        <v>11</v>
      </c>
      <c r="N146" t="str">
        <f>IF(tblCustomer[[#This Row],[Monthly Revenue]]&gt;=30000, "Tier 1 ", IF(tblCustomer[[#This Row],[Monthly Revenue]]&gt;= 15000,"Tier 2 ","Tier 3 "))</f>
        <v xml:space="preserve">Tier 3 </v>
      </c>
      <c r="O146" t="s">
        <v>1032</v>
      </c>
    </row>
    <row r="147" spans="1:15" x14ac:dyDescent="0.25">
      <c r="A147" t="s">
        <v>309</v>
      </c>
      <c r="B147" t="s">
        <v>310</v>
      </c>
      <c r="C147" t="s">
        <v>14</v>
      </c>
      <c r="D147" t="s">
        <v>33</v>
      </c>
      <c r="E147" t="s">
        <v>28</v>
      </c>
      <c r="F147">
        <v>24</v>
      </c>
      <c r="G147" t="b">
        <v>0</v>
      </c>
      <c r="H147" s="3">
        <v>30264</v>
      </c>
      <c r="I147" s="3">
        <v>363168</v>
      </c>
      <c r="J147">
        <v>5</v>
      </c>
      <c r="K147">
        <v>3.2</v>
      </c>
      <c r="L147">
        <v>40</v>
      </c>
      <c r="M147" t="s">
        <v>6</v>
      </c>
      <c r="N147" t="str">
        <f>IF(tblCustomer[[#This Row],[Monthly Revenue]]&gt;=30000, "Tier 1 ", IF(tblCustomer[[#This Row],[Monthly Revenue]]&gt;= 15000,"Tier 2 ","Tier 3 "))</f>
        <v xml:space="preserve">Tier 1 </v>
      </c>
      <c r="O147" t="s">
        <v>1029</v>
      </c>
    </row>
    <row r="148" spans="1:15" x14ac:dyDescent="0.25">
      <c r="A148" t="s">
        <v>311</v>
      </c>
      <c r="B148" t="s">
        <v>312</v>
      </c>
      <c r="C148" t="s">
        <v>9</v>
      </c>
      <c r="D148" t="s">
        <v>33</v>
      </c>
      <c r="E148" t="s">
        <v>28</v>
      </c>
      <c r="F148">
        <v>24</v>
      </c>
      <c r="G148" t="b">
        <v>1</v>
      </c>
      <c r="H148" s="3">
        <v>7586</v>
      </c>
      <c r="I148" s="3">
        <v>91032</v>
      </c>
      <c r="J148">
        <v>3</v>
      </c>
      <c r="K148">
        <v>4.33</v>
      </c>
      <c r="L148">
        <v>30</v>
      </c>
      <c r="M148" t="s">
        <v>11</v>
      </c>
      <c r="N148" t="str">
        <f>IF(tblCustomer[[#This Row],[Monthly Revenue]]&gt;=30000, "Tier 1 ", IF(tblCustomer[[#This Row],[Monthly Revenue]]&gt;= 15000,"Tier 2 ","Tier 3 "))</f>
        <v xml:space="preserve">Tier 3 </v>
      </c>
      <c r="O148" t="s">
        <v>1030</v>
      </c>
    </row>
    <row r="149" spans="1:15" x14ac:dyDescent="0.25">
      <c r="A149" t="s">
        <v>313</v>
      </c>
      <c r="B149" t="s">
        <v>314</v>
      </c>
      <c r="C149" t="s">
        <v>9</v>
      </c>
      <c r="D149" t="s">
        <v>10</v>
      </c>
      <c r="E149" t="s">
        <v>22</v>
      </c>
      <c r="F149">
        <v>86</v>
      </c>
      <c r="G149" t="b">
        <v>0</v>
      </c>
      <c r="H149" s="3">
        <v>26230</v>
      </c>
      <c r="I149" s="3">
        <v>314760</v>
      </c>
      <c r="J149">
        <v>1</v>
      </c>
      <c r="K149">
        <v>4</v>
      </c>
      <c r="L149">
        <v>30</v>
      </c>
      <c r="M149" t="s">
        <v>11</v>
      </c>
      <c r="N149" t="str">
        <f>IF(tblCustomer[[#This Row],[Monthly Revenue]]&gt;=30000, "Tier 1 ", IF(tblCustomer[[#This Row],[Monthly Revenue]]&gt;= 15000,"Tier 2 ","Tier 3 "))</f>
        <v xml:space="preserve">Tier 2 </v>
      </c>
      <c r="O149" t="s">
        <v>1031</v>
      </c>
    </row>
    <row r="150" spans="1:15" x14ac:dyDescent="0.25">
      <c r="A150" t="s">
        <v>315</v>
      </c>
      <c r="B150" t="s">
        <v>316</v>
      </c>
      <c r="C150" t="s">
        <v>14</v>
      </c>
      <c r="D150" t="s">
        <v>4</v>
      </c>
      <c r="E150" t="s">
        <v>28</v>
      </c>
      <c r="F150">
        <v>33</v>
      </c>
      <c r="G150" t="b">
        <v>0</v>
      </c>
      <c r="H150" s="3">
        <v>22423</v>
      </c>
      <c r="I150" s="3">
        <v>269076</v>
      </c>
      <c r="J150">
        <v>5</v>
      </c>
      <c r="K150">
        <v>4.2</v>
      </c>
      <c r="L150">
        <v>40</v>
      </c>
      <c r="M150" t="s">
        <v>6</v>
      </c>
      <c r="N150" t="str">
        <f>IF(tblCustomer[[#This Row],[Monthly Revenue]]&gt;=30000, "Tier 1 ", IF(tblCustomer[[#This Row],[Monthly Revenue]]&gt;= 15000,"Tier 2 ","Tier 3 "))</f>
        <v xml:space="preserve">Tier 2 </v>
      </c>
      <c r="O150" t="s">
        <v>1032</v>
      </c>
    </row>
    <row r="151" spans="1:15" x14ac:dyDescent="0.25">
      <c r="A151" t="s">
        <v>317</v>
      </c>
      <c r="B151" t="s">
        <v>318</v>
      </c>
      <c r="C151" t="s">
        <v>14</v>
      </c>
      <c r="D151" t="s">
        <v>4</v>
      </c>
      <c r="E151" t="s">
        <v>28</v>
      </c>
      <c r="F151">
        <v>27</v>
      </c>
      <c r="G151" t="b">
        <v>1</v>
      </c>
      <c r="H151" s="3">
        <v>16229</v>
      </c>
      <c r="I151" s="3">
        <v>194748</v>
      </c>
      <c r="J151">
        <v>1</v>
      </c>
      <c r="K151">
        <v>0</v>
      </c>
      <c r="L151">
        <v>60</v>
      </c>
      <c r="M151" t="s">
        <v>19</v>
      </c>
      <c r="N151" t="str">
        <f>IF(tblCustomer[[#This Row],[Monthly Revenue]]&gt;=30000, "Tier 1 ", IF(tblCustomer[[#This Row],[Monthly Revenue]]&gt;= 15000,"Tier 2 ","Tier 3 "))</f>
        <v xml:space="preserve">Tier 2 </v>
      </c>
      <c r="O151" t="s">
        <v>1031</v>
      </c>
    </row>
    <row r="152" spans="1:15" x14ac:dyDescent="0.25">
      <c r="A152" t="s">
        <v>319</v>
      </c>
      <c r="B152" t="s">
        <v>320</v>
      </c>
      <c r="C152" t="s">
        <v>17</v>
      </c>
      <c r="D152" t="s">
        <v>10</v>
      </c>
      <c r="E152" t="s">
        <v>22</v>
      </c>
      <c r="F152">
        <v>30</v>
      </c>
      <c r="G152" t="b">
        <v>0</v>
      </c>
      <c r="H152" s="3">
        <v>22959</v>
      </c>
      <c r="I152" s="3">
        <v>275508</v>
      </c>
      <c r="J152">
        <v>5</v>
      </c>
      <c r="K152">
        <v>2.2000000000000002</v>
      </c>
      <c r="L152">
        <v>55</v>
      </c>
      <c r="M152" t="s">
        <v>6</v>
      </c>
      <c r="N152" t="str">
        <f>IF(tblCustomer[[#This Row],[Monthly Revenue]]&gt;=30000, "Tier 1 ", IF(tblCustomer[[#This Row],[Monthly Revenue]]&gt;= 15000,"Tier 2 ","Tier 3 "))</f>
        <v xml:space="preserve">Tier 2 </v>
      </c>
      <c r="O152" t="s">
        <v>1027</v>
      </c>
    </row>
    <row r="153" spans="1:15" x14ac:dyDescent="0.25">
      <c r="A153" t="s">
        <v>321</v>
      </c>
      <c r="B153" t="s">
        <v>322</v>
      </c>
      <c r="C153" t="s">
        <v>17</v>
      </c>
      <c r="D153" t="s">
        <v>54</v>
      </c>
      <c r="E153" t="s">
        <v>5</v>
      </c>
      <c r="F153">
        <v>47</v>
      </c>
      <c r="G153" t="b">
        <v>0</v>
      </c>
      <c r="H153" s="3">
        <v>30719</v>
      </c>
      <c r="I153" s="3">
        <v>368628</v>
      </c>
      <c r="J153">
        <v>3</v>
      </c>
      <c r="K153">
        <v>4.33</v>
      </c>
      <c r="L153">
        <v>30</v>
      </c>
      <c r="M153" t="s">
        <v>11</v>
      </c>
      <c r="N153" t="str">
        <f>IF(tblCustomer[[#This Row],[Monthly Revenue]]&gt;=30000, "Tier 1 ", IF(tblCustomer[[#This Row],[Monthly Revenue]]&gt;= 15000,"Tier 2 ","Tier 3 "))</f>
        <v xml:space="preserve">Tier 1 </v>
      </c>
      <c r="O153" t="s">
        <v>1027</v>
      </c>
    </row>
    <row r="154" spans="1:15" x14ac:dyDescent="0.25">
      <c r="A154" t="s">
        <v>323</v>
      </c>
      <c r="B154" t="s">
        <v>324</v>
      </c>
      <c r="C154" t="s">
        <v>14</v>
      </c>
      <c r="D154" t="s">
        <v>4</v>
      </c>
      <c r="E154" t="s">
        <v>22</v>
      </c>
      <c r="F154">
        <v>1</v>
      </c>
      <c r="G154" t="b">
        <v>1</v>
      </c>
      <c r="H154" s="3">
        <v>1796</v>
      </c>
      <c r="I154" s="3">
        <v>21552</v>
      </c>
      <c r="J154">
        <v>3</v>
      </c>
      <c r="K154">
        <v>0</v>
      </c>
      <c r="L154">
        <v>60</v>
      </c>
      <c r="M154" t="s">
        <v>19</v>
      </c>
      <c r="N154" t="str">
        <f>IF(tblCustomer[[#This Row],[Monthly Revenue]]&gt;=30000, "Tier 1 ", IF(tblCustomer[[#This Row],[Monthly Revenue]]&gt;= 15000,"Tier 2 ","Tier 3 "))</f>
        <v xml:space="preserve">Tier 3 </v>
      </c>
      <c r="O154" t="s">
        <v>1030</v>
      </c>
    </row>
    <row r="155" spans="1:15" x14ac:dyDescent="0.25">
      <c r="A155" t="s">
        <v>325</v>
      </c>
      <c r="B155" t="s">
        <v>326</v>
      </c>
      <c r="C155" t="s">
        <v>14</v>
      </c>
      <c r="D155" t="s">
        <v>4</v>
      </c>
      <c r="E155" t="s">
        <v>5</v>
      </c>
      <c r="F155">
        <v>2</v>
      </c>
      <c r="G155" t="b">
        <v>0</v>
      </c>
      <c r="H155" s="3">
        <v>18492</v>
      </c>
      <c r="I155" s="3">
        <v>221904</v>
      </c>
      <c r="J155">
        <v>2</v>
      </c>
      <c r="K155">
        <v>4</v>
      </c>
      <c r="L155">
        <v>0</v>
      </c>
      <c r="M155" t="s">
        <v>11</v>
      </c>
      <c r="N155" t="str">
        <f>IF(tblCustomer[[#This Row],[Monthly Revenue]]&gt;=30000, "Tier 1 ", IF(tblCustomer[[#This Row],[Monthly Revenue]]&gt;= 15000,"Tier 2 ","Tier 3 "))</f>
        <v xml:space="preserve">Tier 2 </v>
      </c>
      <c r="O155" t="s">
        <v>1028</v>
      </c>
    </row>
    <row r="156" spans="1:15" x14ac:dyDescent="0.25">
      <c r="A156" t="s">
        <v>327</v>
      </c>
      <c r="B156" t="s">
        <v>328</v>
      </c>
      <c r="C156" t="s">
        <v>9</v>
      </c>
      <c r="D156" t="s">
        <v>4</v>
      </c>
      <c r="E156" t="s">
        <v>28</v>
      </c>
      <c r="F156">
        <v>27</v>
      </c>
      <c r="G156" t="b">
        <v>0</v>
      </c>
      <c r="H156" s="3">
        <v>28379</v>
      </c>
      <c r="I156" s="3">
        <v>340548</v>
      </c>
      <c r="J156">
        <v>6</v>
      </c>
      <c r="K156">
        <v>2.67</v>
      </c>
      <c r="L156">
        <v>40</v>
      </c>
      <c r="M156" t="s">
        <v>6</v>
      </c>
      <c r="N156" t="str">
        <f>IF(tblCustomer[[#This Row],[Monthly Revenue]]&gt;=30000, "Tier 1 ", IF(tblCustomer[[#This Row],[Monthly Revenue]]&gt;= 15000,"Tier 2 ","Tier 3 "))</f>
        <v xml:space="preserve">Tier 2 </v>
      </c>
      <c r="O156" t="s">
        <v>1030</v>
      </c>
    </row>
    <row r="157" spans="1:15" x14ac:dyDescent="0.25">
      <c r="A157" t="s">
        <v>329</v>
      </c>
      <c r="B157" t="s">
        <v>330</v>
      </c>
      <c r="C157" t="s">
        <v>17</v>
      </c>
      <c r="D157" t="s">
        <v>4</v>
      </c>
      <c r="E157" t="s">
        <v>22</v>
      </c>
      <c r="F157">
        <v>9</v>
      </c>
      <c r="G157" t="b">
        <v>0</v>
      </c>
      <c r="H157" s="3">
        <v>11197</v>
      </c>
      <c r="I157" s="3">
        <v>134364</v>
      </c>
      <c r="J157">
        <v>6</v>
      </c>
      <c r="K157">
        <v>3.67</v>
      </c>
      <c r="L157">
        <v>40</v>
      </c>
      <c r="M157" t="s">
        <v>6</v>
      </c>
      <c r="N157" t="str">
        <f>IF(tblCustomer[[#This Row],[Monthly Revenue]]&gt;=30000, "Tier 1 ", IF(tblCustomer[[#This Row],[Monthly Revenue]]&gt;= 15000,"Tier 2 ","Tier 3 "))</f>
        <v xml:space="preserve">Tier 3 </v>
      </c>
      <c r="O157" t="s">
        <v>1028</v>
      </c>
    </row>
    <row r="158" spans="1:15" x14ac:dyDescent="0.25">
      <c r="A158" t="s">
        <v>331</v>
      </c>
      <c r="B158" t="s">
        <v>332</v>
      </c>
      <c r="C158" t="s">
        <v>14</v>
      </c>
      <c r="D158" t="s">
        <v>90</v>
      </c>
      <c r="E158" t="s">
        <v>28</v>
      </c>
      <c r="F158">
        <v>5</v>
      </c>
      <c r="G158" t="b">
        <v>1</v>
      </c>
      <c r="H158" s="3">
        <v>2104</v>
      </c>
      <c r="I158" s="3">
        <v>25248</v>
      </c>
      <c r="J158">
        <v>6</v>
      </c>
      <c r="K158">
        <v>1.83</v>
      </c>
      <c r="L158">
        <v>55</v>
      </c>
      <c r="M158" t="s">
        <v>6</v>
      </c>
      <c r="N158" t="str">
        <f>IF(tblCustomer[[#This Row],[Monthly Revenue]]&gt;=30000, "Tier 1 ", IF(tblCustomer[[#This Row],[Monthly Revenue]]&gt;= 15000,"Tier 2 ","Tier 3 "))</f>
        <v xml:space="preserve">Tier 3 </v>
      </c>
      <c r="O158" t="s">
        <v>1029</v>
      </c>
    </row>
    <row r="159" spans="1:15" x14ac:dyDescent="0.25">
      <c r="A159" t="s">
        <v>333</v>
      </c>
      <c r="B159" t="s">
        <v>334</v>
      </c>
      <c r="C159" t="s">
        <v>14</v>
      </c>
      <c r="D159" t="s">
        <v>4</v>
      </c>
      <c r="E159" t="s">
        <v>5</v>
      </c>
      <c r="F159">
        <v>70</v>
      </c>
      <c r="G159" t="b">
        <v>0</v>
      </c>
      <c r="H159" s="3">
        <v>66010</v>
      </c>
      <c r="I159" s="3">
        <v>792120</v>
      </c>
      <c r="J159">
        <v>4</v>
      </c>
      <c r="K159">
        <v>1.5</v>
      </c>
      <c r="L159">
        <v>45</v>
      </c>
      <c r="M159" t="s">
        <v>6</v>
      </c>
      <c r="N159" t="str">
        <f>IF(tblCustomer[[#This Row],[Monthly Revenue]]&gt;=30000, "Tier 1 ", IF(tblCustomer[[#This Row],[Monthly Revenue]]&gt;= 15000,"Tier 2 ","Tier 3 "))</f>
        <v xml:space="preserve">Tier 1 </v>
      </c>
      <c r="O159" t="s">
        <v>1029</v>
      </c>
    </row>
    <row r="160" spans="1:15" x14ac:dyDescent="0.25">
      <c r="A160" t="s">
        <v>335</v>
      </c>
      <c r="B160" t="s">
        <v>336</v>
      </c>
      <c r="C160" t="s">
        <v>9</v>
      </c>
      <c r="D160" t="s">
        <v>4</v>
      </c>
      <c r="E160" t="s">
        <v>22</v>
      </c>
      <c r="F160">
        <v>15</v>
      </c>
      <c r="G160" t="b">
        <v>1</v>
      </c>
      <c r="H160" s="3">
        <v>37847</v>
      </c>
      <c r="I160" s="3">
        <v>454164</v>
      </c>
      <c r="J160">
        <v>1</v>
      </c>
      <c r="K160">
        <v>4</v>
      </c>
      <c r="L160">
        <v>0</v>
      </c>
      <c r="M160" t="s">
        <v>11</v>
      </c>
      <c r="N160" t="str">
        <f>IF(tblCustomer[[#This Row],[Monthly Revenue]]&gt;=30000, "Tier 1 ", IF(tblCustomer[[#This Row],[Monthly Revenue]]&gt;= 15000,"Tier 2 ","Tier 3 "))</f>
        <v xml:space="preserve">Tier 1 </v>
      </c>
      <c r="O160" t="s">
        <v>1030</v>
      </c>
    </row>
    <row r="161" spans="1:15" x14ac:dyDescent="0.25">
      <c r="A161" t="s">
        <v>337</v>
      </c>
      <c r="B161" t="s">
        <v>338</v>
      </c>
      <c r="C161" t="s">
        <v>9</v>
      </c>
      <c r="D161" t="s">
        <v>4</v>
      </c>
      <c r="E161" t="s">
        <v>28</v>
      </c>
      <c r="F161">
        <v>16</v>
      </c>
      <c r="G161" t="b">
        <v>0</v>
      </c>
      <c r="H161" s="3">
        <v>23833</v>
      </c>
      <c r="I161" s="3">
        <v>285996</v>
      </c>
      <c r="J161">
        <v>7</v>
      </c>
      <c r="K161">
        <v>1.57</v>
      </c>
      <c r="L161">
        <v>25</v>
      </c>
      <c r="M161" t="s">
        <v>11</v>
      </c>
      <c r="N161" t="str">
        <f>IF(tblCustomer[[#This Row],[Monthly Revenue]]&gt;=30000, "Tier 1 ", IF(tblCustomer[[#This Row],[Monthly Revenue]]&gt;= 15000,"Tier 2 ","Tier 3 "))</f>
        <v xml:space="preserve">Tier 2 </v>
      </c>
      <c r="O161" t="s">
        <v>1029</v>
      </c>
    </row>
    <row r="162" spans="1:15" x14ac:dyDescent="0.25">
      <c r="A162" t="s">
        <v>339</v>
      </c>
      <c r="B162" t="s">
        <v>340</v>
      </c>
      <c r="C162" t="s">
        <v>17</v>
      </c>
      <c r="D162" t="s">
        <v>4</v>
      </c>
      <c r="E162" t="s">
        <v>5</v>
      </c>
      <c r="F162">
        <v>19</v>
      </c>
      <c r="G162" t="b">
        <v>0</v>
      </c>
      <c r="H162" s="3">
        <v>7513</v>
      </c>
      <c r="I162" s="3">
        <v>90156</v>
      </c>
      <c r="J162">
        <v>2</v>
      </c>
      <c r="K162">
        <v>3.5</v>
      </c>
      <c r="L162">
        <v>0</v>
      </c>
      <c r="M162" t="s">
        <v>11</v>
      </c>
      <c r="N162" t="str">
        <f>IF(tblCustomer[[#This Row],[Monthly Revenue]]&gt;=30000, "Tier 1 ", IF(tblCustomer[[#This Row],[Monthly Revenue]]&gt;= 15000,"Tier 2 ","Tier 3 "))</f>
        <v xml:space="preserve">Tier 3 </v>
      </c>
      <c r="O162" t="s">
        <v>1028</v>
      </c>
    </row>
    <row r="163" spans="1:15" x14ac:dyDescent="0.25">
      <c r="A163" t="s">
        <v>341</v>
      </c>
      <c r="B163" t="s">
        <v>342</v>
      </c>
      <c r="C163" t="s">
        <v>9</v>
      </c>
      <c r="D163" t="s">
        <v>4</v>
      </c>
      <c r="E163" t="s">
        <v>5</v>
      </c>
      <c r="F163">
        <v>19</v>
      </c>
      <c r="G163" t="b">
        <v>0</v>
      </c>
      <c r="H163" s="3">
        <v>6321</v>
      </c>
      <c r="I163" s="3">
        <v>75852</v>
      </c>
      <c r="J163">
        <v>5</v>
      </c>
      <c r="K163">
        <v>0</v>
      </c>
      <c r="L163">
        <v>40</v>
      </c>
      <c r="M163" t="s">
        <v>6</v>
      </c>
      <c r="N163" t="str">
        <f>IF(tblCustomer[[#This Row],[Monthly Revenue]]&gt;=30000, "Tier 1 ", IF(tblCustomer[[#This Row],[Monthly Revenue]]&gt;= 15000,"Tier 2 ","Tier 3 "))</f>
        <v xml:space="preserve">Tier 3 </v>
      </c>
      <c r="O163" t="s">
        <v>1029</v>
      </c>
    </row>
    <row r="164" spans="1:15" x14ac:dyDescent="0.25">
      <c r="A164" t="s">
        <v>343</v>
      </c>
      <c r="B164" t="s">
        <v>344</v>
      </c>
      <c r="C164" t="s">
        <v>17</v>
      </c>
      <c r="D164" t="s">
        <v>4</v>
      </c>
      <c r="E164" t="s">
        <v>5</v>
      </c>
      <c r="F164">
        <v>1</v>
      </c>
      <c r="G164" t="b">
        <v>0</v>
      </c>
      <c r="H164" s="3">
        <v>9669</v>
      </c>
      <c r="I164" s="3">
        <v>116028</v>
      </c>
      <c r="J164">
        <v>7</v>
      </c>
      <c r="K164">
        <v>2.57</v>
      </c>
      <c r="L164">
        <v>10</v>
      </c>
      <c r="M164" t="s">
        <v>11</v>
      </c>
      <c r="N164" t="str">
        <f>IF(tblCustomer[[#This Row],[Monthly Revenue]]&gt;=30000, "Tier 1 ", IF(tblCustomer[[#This Row],[Monthly Revenue]]&gt;= 15000,"Tier 2 ","Tier 3 "))</f>
        <v xml:space="preserve">Tier 3 </v>
      </c>
      <c r="O164" t="s">
        <v>1031</v>
      </c>
    </row>
    <row r="165" spans="1:15" x14ac:dyDescent="0.25">
      <c r="A165" t="s">
        <v>345</v>
      </c>
      <c r="B165" t="s">
        <v>346</v>
      </c>
      <c r="C165" t="s">
        <v>27</v>
      </c>
      <c r="D165" t="s">
        <v>18</v>
      </c>
      <c r="E165" t="s">
        <v>22</v>
      </c>
      <c r="F165">
        <v>44</v>
      </c>
      <c r="G165" t="b">
        <v>0</v>
      </c>
      <c r="H165" s="3">
        <v>44815</v>
      </c>
      <c r="I165" s="3">
        <v>537780</v>
      </c>
      <c r="J165">
        <v>4</v>
      </c>
      <c r="K165">
        <v>3.75</v>
      </c>
      <c r="L165">
        <v>0</v>
      </c>
      <c r="M165" t="s">
        <v>11</v>
      </c>
      <c r="N165" t="str">
        <f>IF(tblCustomer[[#This Row],[Monthly Revenue]]&gt;=30000, "Tier 1 ", IF(tblCustomer[[#This Row],[Monthly Revenue]]&gt;= 15000,"Tier 2 ","Tier 3 "))</f>
        <v xml:space="preserve">Tier 1 </v>
      </c>
      <c r="O165" t="s">
        <v>1028</v>
      </c>
    </row>
    <row r="166" spans="1:15" x14ac:dyDescent="0.25">
      <c r="A166" t="s">
        <v>347</v>
      </c>
      <c r="B166" t="s">
        <v>348</v>
      </c>
      <c r="C166" t="s">
        <v>3</v>
      </c>
      <c r="D166" t="s">
        <v>71</v>
      </c>
      <c r="E166" t="s">
        <v>28</v>
      </c>
      <c r="F166">
        <v>6</v>
      </c>
      <c r="G166" t="b">
        <v>0</v>
      </c>
      <c r="H166" s="3">
        <v>12569</v>
      </c>
      <c r="I166" s="3">
        <v>150828</v>
      </c>
      <c r="J166">
        <v>2</v>
      </c>
      <c r="K166">
        <v>4.5</v>
      </c>
      <c r="L166">
        <v>0</v>
      </c>
      <c r="M166" t="s">
        <v>11</v>
      </c>
      <c r="N166" t="str">
        <f>IF(tblCustomer[[#This Row],[Monthly Revenue]]&gt;=30000, "Tier 1 ", IF(tblCustomer[[#This Row],[Monthly Revenue]]&gt;= 15000,"Tier 2 ","Tier 3 "))</f>
        <v xml:space="preserve">Tier 3 </v>
      </c>
      <c r="O166" t="s">
        <v>1027</v>
      </c>
    </row>
    <row r="167" spans="1:15" x14ac:dyDescent="0.25">
      <c r="A167" t="s">
        <v>349</v>
      </c>
      <c r="B167" t="s">
        <v>350</v>
      </c>
      <c r="C167" t="s">
        <v>14</v>
      </c>
      <c r="D167" t="s">
        <v>4</v>
      </c>
      <c r="E167" t="s">
        <v>5</v>
      </c>
      <c r="F167">
        <v>8</v>
      </c>
      <c r="G167" t="b">
        <v>1</v>
      </c>
      <c r="H167" s="3">
        <v>27873</v>
      </c>
      <c r="I167" s="3">
        <v>334476</v>
      </c>
      <c r="J167">
        <v>2</v>
      </c>
      <c r="K167">
        <v>0</v>
      </c>
      <c r="L167">
        <v>30</v>
      </c>
      <c r="M167" t="s">
        <v>11</v>
      </c>
      <c r="N167" t="str">
        <f>IF(tblCustomer[[#This Row],[Monthly Revenue]]&gt;=30000, "Tier 1 ", IF(tblCustomer[[#This Row],[Monthly Revenue]]&gt;= 15000,"Tier 2 ","Tier 3 "))</f>
        <v xml:space="preserve">Tier 2 </v>
      </c>
      <c r="O167" t="s">
        <v>1029</v>
      </c>
    </row>
    <row r="168" spans="1:15" x14ac:dyDescent="0.25">
      <c r="A168" t="s">
        <v>351</v>
      </c>
      <c r="B168" t="s">
        <v>352</v>
      </c>
      <c r="C168" t="s">
        <v>14</v>
      </c>
      <c r="D168" t="s">
        <v>4</v>
      </c>
      <c r="E168" t="s">
        <v>28</v>
      </c>
      <c r="F168">
        <v>73</v>
      </c>
      <c r="G168" t="b">
        <v>0</v>
      </c>
      <c r="H168" s="3">
        <v>133298</v>
      </c>
      <c r="I168" s="3">
        <v>1599576</v>
      </c>
      <c r="J168">
        <v>4</v>
      </c>
      <c r="K168">
        <v>2.25</v>
      </c>
      <c r="L168">
        <v>45</v>
      </c>
      <c r="M168" t="s">
        <v>6</v>
      </c>
      <c r="N168" t="str">
        <f>IF(tblCustomer[[#This Row],[Monthly Revenue]]&gt;=30000, "Tier 1 ", IF(tblCustomer[[#This Row],[Monthly Revenue]]&gt;= 15000,"Tier 2 ","Tier 3 "))</f>
        <v xml:space="preserve">Tier 1 </v>
      </c>
      <c r="O168" t="s">
        <v>1032</v>
      </c>
    </row>
    <row r="169" spans="1:15" x14ac:dyDescent="0.25">
      <c r="A169" t="s">
        <v>353</v>
      </c>
      <c r="B169" t="s">
        <v>354</v>
      </c>
      <c r="C169" t="s">
        <v>3</v>
      </c>
      <c r="D169" t="s">
        <v>4</v>
      </c>
      <c r="E169" t="s">
        <v>5</v>
      </c>
      <c r="F169">
        <v>15</v>
      </c>
      <c r="G169" t="b">
        <v>0</v>
      </c>
      <c r="H169" s="3">
        <v>40713</v>
      </c>
      <c r="I169" s="3">
        <v>488556</v>
      </c>
      <c r="J169">
        <v>1</v>
      </c>
      <c r="K169">
        <v>0</v>
      </c>
      <c r="L169">
        <v>60</v>
      </c>
      <c r="M169" t="s">
        <v>19</v>
      </c>
      <c r="N169" t="str">
        <f>IF(tblCustomer[[#This Row],[Monthly Revenue]]&gt;=30000, "Tier 1 ", IF(tblCustomer[[#This Row],[Monthly Revenue]]&gt;= 15000,"Tier 2 ","Tier 3 "))</f>
        <v xml:space="preserve">Tier 1 </v>
      </c>
      <c r="O169" t="s">
        <v>1031</v>
      </c>
    </row>
    <row r="170" spans="1:15" x14ac:dyDescent="0.25">
      <c r="A170" t="s">
        <v>355</v>
      </c>
      <c r="B170" t="s">
        <v>356</v>
      </c>
      <c r="C170" t="s">
        <v>17</v>
      </c>
      <c r="D170" t="s">
        <v>54</v>
      </c>
      <c r="E170" t="s">
        <v>5</v>
      </c>
      <c r="F170">
        <v>23</v>
      </c>
      <c r="G170" t="b">
        <v>0</v>
      </c>
      <c r="H170" s="3">
        <v>10575</v>
      </c>
      <c r="I170" s="3">
        <v>126900</v>
      </c>
      <c r="J170">
        <v>0</v>
      </c>
      <c r="K170">
        <v>0</v>
      </c>
      <c r="L170">
        <v>30</v>
      </c>
      <c r="M170" t="s">
        <v>11</v>
      </c>
      <c r="N170" t="str">
        <f>IF(tblCustomer[[#This Row],[Monthly Revenue]]&gt;=30000, "Tier 1 ", IF(tblCustomer[[#This Row],[Monthly Revenue]]&gt;= 15000,"Tier 2 ","Tier 3 "))</f>
        <v xml:space="preserve">Tier 3 </v>
      </c>
      <c r="O170" t="s">
        <v>1027</v>
      </c>
    </row>
    <row r="171" spans="1:15" x14ac:dyDescent="0.25">
      <c r="A171" t="s">
        <v>357</v>
      </c>
      <c r="B171" t="s">
        <v>358</v>
      </c>
      <c r="C171" t="s">
        <v>17</v>
      </c>
      <c r="D171" t="s">
        <v>10</v>
      </c>
      <c r="E171" t="s">
        <v>22</v>
      </c>
      <c r="F171">
        <v>34</v>
      </c>
      <c r="G171" t="b">
        <v>0</v>
      </c>
      <c r="H171" s="3">
        <v>36041</v>
      </c>
      <c r="I171" s="3">
        <v>432492</v>
      </c>
      <c r="J171">
        <v>9</v>
      </c>
      <c r="K171">
        <v>1.56</v>
      </c>
      <c r="L171">
        <v>65</v>
      </c>
      <c r="M171" t="s">
        <v>19</v>
      </c>
      <c r="N171" t="str">
        <f>IF(tblCustomer[[#This Row],[Monthly Revenue]]&gt;=30000, "Tier 1 ", IF(tblCustomer[[#This Row],[Monthly Revenue]]&gt;= 15000,"Tier 2 ","Tier 3 "))</f>
        <v xml:space="preserve">Tier 1 </v>
      </c>
      <c r="O171" t="s">
        <v>1031</v>
      </c>
    </row>
    <row r="172" spans="1:15" x14ac:dyDescent="0.25">
      <c r="A172" t="s">
        <v>359</v>
      </c>
      <c r="B172" t="s">
        <v>360</v>
      </c>
      <c r="C172" t="s">
        <v>9</v>
      </c>
      <c r="D172" t="s">
        <v>10</v>
      </c>
      <c r="E172" t="s">
        <v>28</v>
      </c>
      <c r="F172">
        <v>19</v>
      </c>
      <c r="G172" t="b">
        <v>0</v>
      </c>
      <c r="H172" s="3">
        <v>15161</v>
      </c>
      <c r="I172" s="3">
        <v>181932</v>
      </c>
      <c r="J172">
        <v>8</v>
      </c>
      <c r="K172">
        <v>0.38</v>
      </c>
      <c r="L172">
        <v>80</v>
      </c>
      <c r="M172" t="s">
        <v>19</v>
      </c>
      <c r="N172" t="str">
        <f>IF(tblCustomer[[#This Row],[Monthly Revenue]]&gt;=30000, "Tier 1 ", IF(tblCustomer[[#This Row],[Monthly Revenue]]&gt;= 15000,"Tier 2 ","Tier 3 "))</f>
        <v xml:space="preserve">Tier 2 </v>
      </c>
      <c r="O172" t="s">
        <v>1031</v>
      </c>
    </row>
    <row r="173" spans="1:15" x14ac:dyDescent="0.25">
      <c r="A173" t="s">
        <v>361</v>
      </c>
      <c r="B173" t="s">
        <v>362</v>
      </c>
      <c r="C173" t="s">
        <v>27</v>
      </c>
      <c r="D173" t="s">
        <v>71</v>
      </c>
      <c r="E173" t="s">
        <v>28</v>
      </c>
      <c r="F173">
        <v>40</v>
      </c>
      <c r="G173" t="b">
        <v>1</v>
      </c>
      <c r="H173" s="3">
        <v>51680</v>
      </c>
      <c r="I173" s="3">
        <v>620160</v>
      </c>
      <c r="J173">
        <v>3</v>
      </c>
      <c r="K173">
        <v>1.67</v>
      </c>
      <c r="L173">
        <v>45</v>
      </c>
      <c r="M173" t="s">
        <v>6</v>
      </c>
      <c r="N173" t="str">
        <f>IF(tblCustomer[[#This Row],[Monthly Revenue]]&gt;=30000, "Tier 1 ", IF(tblCustomer[[#This Row],[Monthly Revenue]]&gt;= 15000,"Tier 2 ","Tier 3 "))</f>
        <v xml:space="preserve">Tier 1 </v>
      </c>
      <c r="O173" t="s">
        <v>1032</v>
      </c>
    </row>
    <row r="174" spans="1:15" x14ac:dyDescent="0.25">
      <c r="A174" t="s">
        <v>363</v>
      </c>
      <c r="B174" t="s">
        <v>364</v>
      </c>
      <c r="C174" t="s">
        <v>17</v>
      </c>
      <c r="D174" t="s">
        <v>4</v>
      </c>
      <c r="E174" t="s">
        <v>5</v>
      </c>
      <c r="F174">
        <v>9</v>
      </c>
      <c r="G174" t="b">
        <v>0</v>
      </c>
      <c r="H174" s="3">
        <v>17289</v>
      </c>
      <c r="I174" s="3">
        <v>207468</v>
      </c>
      <c r="J174">
        <v>3</v>
      </c>
      <c r="K174">
        <v>1.33</v>
      </c>
      <c r="L174">
        <v>60</v>
      </c>
      <c r="M174" t="s">
        <v>19</v>
      </c>
      <c r="N174" t="str">
        <f>IF(tblCustomer[[#This Row],[Monthly Revenue]]&gt;=30000, "Tier 1 ", IF(tblCustomer[[#This Row],[Monthly Revenue]]&gt;= 15000,"Tier 2 ","Tier 3 "))</f>
        <v xml:space="preserve">Tier 2 </v>
      </c>
      <c r="O174" t="s">
        <v>1031</v>
      </c>
    </row>
    <row r="175" spans="1:15" x14ac:dyDescent="0.25">
      <c r="A175" t="s">
        <v>365</v>
      </c>
      <c r="B175" t="s">
        <v>366</v>
      </c>
      <c r="C175" t="s">
        <v>9</v>
      </c>
      <c r="D175" t="s">
        <v>4</v>
      </c>
      <c r="E175" t="s">
        <v>5</v>
      </c>
      <c r="F175">
        <v>3</v>
      </c>
      <c r="G175" t="b">
        <v>0</v>
      </c>
      <c r="H175" s="3">
        <v>23905</v>
      </c>
      <c r="I175" s="3">
        <v>286860</v>
      </c>
      <c r="J175">
        <v>5</v>
      </c>
      <c r="K175">
        <v>3.2</v>
      </c>
      <c r="L175">
        <v>40</v>
      </c>
      <c r="M175" t="s">
        <v>6</v>
      </c>
      <c r="N175" t="str">
        <f>IF(tblCustomer[[#This Row],[Monthly Revenue]]&gt;=30000, "Tier 1 ", IF(tblCustomer[[#This Row],[Monthly Revenue]]&gt;= 15000,"Tier 2 ","Tier 3 "))</f>
        <v xml:space="preserve">Tier 2 </v>
      </c>
      <c r="O175" t="s">
        <v>1027</v>
      </c>
    </row>
    <row r="176" spans="1:15" x14ac:dyDescent="0.25">
      <c r="A176" t="s">
        <v>367</v>
      </c>
      <c r="B176" t="s">
        <v>368</v>
      </c>
      <c r="C176" t="s">
        <v>9</v>
      </c>
      <c r="D176" t="s">
        <v>4</v>
      </c>
      <c r="E176" t="s">
        <v>5</v>
      </c>
      <c r="F176">
        <v>70</v>
      </c>
      <c r="G176" t="b">
        <v>0</v>
      </c>
      <c r="H176" s="3">
        <v>69230</v>
      </c>
      <c r="I176" s="3">
        <v>830760</v>
      </c>
      <c r="J176">
        <v>5</v>
      </c>
      <c r="K176">
        <v>2</v>
      </c>
      <c r="L176">
        <v>55</v>
      </c>
      <c r="M176" t="s">
        <v>6</v>
      </c>
      <c r="N176" t="str">
        <f>IF(tblCustomer[[#This Row],[Monthly Revenue]]&gt;=30000, "Tier 1 ", IF(tblCustomer[[#This Row],[Monthly Revenue]]&gt;= 15000,"Tier 2 ","Tier 3 "))</f>
        <v xml:space="preserve">Tier 1 </v>
      </c>
      <c r="O176" t="s">
        <v>1029</v>
      </c>
    </row>
    <row r="177" spans="1:15" x14ac:dyDescent="0.25">
      <c r="A177" t="s">
        <v>369</v>
      </c>
      <c r="B177" t="s">
        <v>370</v>
      </c>
      <c r="C177" t="s">
        <v>14</v>
      </c>
      <c r="D177" t="s">
        <v>18</v>
      </c>
      <c r="E177" t="s">
        <v>28</v>
      </c>
      <c r="F177">
        <v>12</v>
      </c>
      <c r="G177" t="b">
        <v>0</v>
      </c>
      <c r="H177" s="3">
        <v>14708</v>
      </c>
      <c r="I177" s="3">
        <v>176496</v>
      </c>
      <c r="J177">
        <v>4</v>
      </c>
      <c r="K177">
        <v>1.25</v>
      </c>
      <c r="L177">
        <v>60</v>
      </c>
      <c r="M177" t="s">
        <v>19</v>
      </c>
      <c r="N177" t="str">
        <f>IF(tblCustomer[[#This Row],[Monthly Revenue]]&gt;=30000, "Tier 1 ", IF(tblCustomer[[#This Row],[Monthly Revenue]]&gt;= 15000,"Tier 2 ","Tier 3 "))</f>
        <v xml:space="preserve">Tier 3 </v>
      </c>
      <c r="O177" t="s">
        <v>1032</v>
      </c>
    </row>
    <row r="178" spans="1:15" x14ac:dyDescent="0.25">
      <c r="A178" t="s">
        <v>371</v>
      </c>
      <c r="B178" t="s">
        <v>372</v>
      </c>
      <c r="C178" t="s">
        <v>9</v>
      </c>
      <c r="D178" t="s">
        <v>4</v>
      </c>
      <c r="E178" t="s">
        <v>22</v>
      </c>
      <c r="F178">
        <v>1</v>
      </c>
      <c r="G178" t="b">
        <v>0</v>
      </c>
      <c r="H178" s="3">
        <v>21237</v>
      </c>
      <c r="I178" s="3">
        <v>254844</v>
      </c>
      <c r="J178">
        <v>6</v>
      </c>
      <c r="K178">
        <v>2.83</v>
      </c>
      <c r="L178">
        <v>40</v>
      </c>
      <c r="M178" t="s">
        <v>6</v>
      </c>
      <c r="N178" t="str">
        <f>IF(tblCustomer[[#This Row],[Monthly Revenue]]&gt;=30000, "Tier 1 ", IF(tblCustomer[[#This Row],[Monthly Revenue]]&gt;= 15000,"Tier 2 ","Tier 3 "))</f>
        <v xml:space="preserve">Tier 2 </v>
      </c>
      <c r="O178" t="s">
        <v>1029</v>
      </c>
    </row>
    <row r="179" spans="1:15" x14ac:dyDescent="0.25">
      <c r="A179" t="s">
        <v>373</v>
      </c>
      <c r="B179" t="s">
        <v>374</v>
      </c>
      <c r="C179" t="s">
        <v>3</v>
      </c>
      <c r="D179" t="s">
        <v>18</v>
      </c>
      <c r="E179" t="s">
        <v>22</v>
      </c>
      <c r="F179">
        <v>163</v>
      </c>
      <c r="G179" t="b">
        <v>0</v>
      </c>
      <c r="H179" s="3">
        <v>54605</v>
      </c>
      <c r="I179" s="3">
        <v>655260</v>
      </c>
      <c r="J179">
        <v>4</v>
      </c>
      <c r="K179">
        <v>0.75</v>
      </c>
      <c r="L179">
        <v>60</v>
      </c>
      <c r="M179" t="s">
        <v>19</v>
      </c>
      <c r="N179" t="str">
        <f>IF(tblCustomer[[#This Row],[Monthly Revenue]]&gt;=30000, "Tier 1 ", IF(tblCustomer[[#This Row],[Monthly Revenue]]&gt;= 15000,"Tier 2 ","Tier 3 "))</f>
        <v xml:space="preserve">Tier 1 </v>
      </c>
      <c r="O179" t="s">
        <v>1029</v>
      </c>
    </row>
    <row r="180" spans="1:15" x14ac:dyDescent="0.25">
      <c r="A180" t="s">
        <v>375</v>
      </c>
      <c r="B180" t="s">
        <v>376</v>
      </c>
      <c r="C180" t="s">
        <v>9</v>
      </c>
      <c r="D180" t="s">
        <v>4</v>
      </c>
      <c r="E180" t="s">
        <v>5</v>
      </c>
      <c r="F180">
        <v>29</v>
      </c>
      <c r="G180" t="b">
        <v>0</v>
      </c>
      <c r="H180" s="3">
        <v>50817</v>
      </c>
      <c r="I180" s="3">
        <v>609804</v>
      </c>
      <c r="J180">
        <v>2</v>
      </c>
      <c r="K180">
        <v>0</v>
      </c>
      <c r="L180">
        <v>30</v>
      </c>
      <c r="M180" t="s">
        <v>11</v>
      </c>
      <c r="N180" t="str">
        <f>IF(tblCustomer[[#This Row],[Monthly Revenue]]&gt;=30000, "Tier 1 ", IF(tblCustomer[[#This Row],[Monthly Revenue]]&gt;= 15000,"Tier 2 ","Tier 3 "))</f>
        <v xml:space="preserve">Tier 1 </v>
      </c>
      <c r="O180" t="s">
        <v>1030</v>
      </c>
    </row>
    <row r="181" spans="1:15" x14ac:dyDescent="0.25">
      <c r="A181" t="s">
        <v>377</v>
      </c>
      <c r="B181" t="s">
        <v>378</v>
      </c>
      <c r="C181" t="s">
        <v>9</v>
      </c>
      <c r="D181" t="s">
        <v>54</v>
      </c>
      <c r="E181" t="s">
        <v>5</v>
      </c>
      <c r="F181">
        <v>5</v>
      </c>
      <c r="G181" t="b">
        <v>1</v>
      </c>
      <c r="H181" s="3">
        <v>6449</v>
      </c>
      <c r="I181" s="3">
        <v>77388</v>
      </c>
      <c r="J181">
        <v>1</v>
      </c>
      <c r="K181">
        <v>0</v>
      </c>
      <c r="L181">
        <v>30</v>
      </c>
      <c r="M181" t="s">
        <v>11</v>
      </c>
      <c r="N181" t="str">
        <f>IF(tblCustomer[[#This Row],[Monthly Revenue]]&gt;=30000, "Tier 1 ", IF(tblCustomer[[#This Row],[Monthly Revenue]]&gt;= 15000,"Tier 2 ","Tier 3 "))</f>
        <v xml:space="preserve">Tier 3 </v>
      </c>
      <c r="O181" t="s">
        <v>1029</v>
      </c>
    </row>
    <row r="182" spans="1:15" x14ac:dyDescent="0.25">
      <c r="A182" t="s">
        <v>379</v>
      </c>
      <c r="B182" t="s">
        <v>380</v>
      </c>
      <c r="C182" t="s">
        <v>9</v>
      </c>
      <c r="D182" t="s">
        <v>10</v>
      </c>
      <c r="E182" t="s">
        <v>22</v>
      </c>
      <c r="F182">
        <v>61</v>
      </c>
      <c r="G182" t="b">
        <v>0</v>
      </c>
      <c r="H182" s="3">
        <v>43859</v>
      </c>
      <c r="I182" s="3">
        <v>526308</v>
      </c>
      <c r="J182">
        <v>5</v>
      </c>
      <c r="K182">
        <v>2.6</v>
      </c>
      <c r="L182">
        <v>40</v>
      </c>
      <c r="M182" t="s">
        <v>6</v>
      </c>
      <c r="N182" t="str">
        <f>IF(tblCustomer[[#This Row],[Monthly Revenue]]&gt;=30000, "Tier 1 ", IF(tblCustomer[[#This Row],[Monthly Revenue]]&gt;= 15000,"Tier 2 ","Tier 3 "))</f>
        <v xml:space="preserve">Tier 1 </v>
      </c>
      <c r="O182" t="s">
        <v>1029</v>
      </c>
    </row>
    <row r="183" spans="1:15" x14ac:dyDescent="0.25">
      <c r="A183" t="s">
        <v>381</v>
      </c>
      <c r="B183" t="s">
        <v>382</v>
      </c>
      <c r="C183" t="s">
        <v>27</v>
      </c>
      <c r="D183" t="s">
        <v>4</v>
      </c>
      <c r="E183" t="s">
        <v>22</v>
      </c>
      <c r="F183">
        <v>22</v>
      </c>
      <c r="G183" t="b">
        <v>0</v>
      </c>
      <c r="H183" s="3">
        <v>2332</v>
      </c>
      <c r="I183" s="3">
        <v>27984</v>
      </c>
      <c r="J183">
        <v>1</v>
      </c>
      <c r="K183">
        <v>3</v>
      </c>
      <c r="L183">
        <v>0</v>
      </c>
      <c r="M183" t="s">
        <v>11</v>
      </c>
      <c r="N183" t="str">
        <f>IF(tblCustomer[[#This Row],[Monthly Revenue]]&gt;=30000, "Tier 1 ", IF(tblCustomer[[#This Row],[Monthly Revenue]]&gt;= 15000,"Tier 2 ","Tier 3 "))</f>
        <v xml:space="preserve">Tier 3 </v>
      </c>
      <c r="O183" t="s">
        <v>1027</v>
      </c>
    </row>
    <row r="184" spans="1:15" x14ac:dyDescent="0.25">
      <c r="A184" t="s">
        <v>383</v>
      </c>
      <c r="B184" t="s">
        <v>384</v>
      </c>
      <c r="C184" t="s">
        <v>14</v>
      </c>
      <c r="D184" t="s">
        <v>54</v>
      </c>
      <c r="E184" t="s">
        <v>22</v>
      </c>
      <c r="F184">
        <v>2</v>
      </c>
      <c r="G184" t="b">
        <v>0</v>
      </c>
      <c r="H184" s="3">
        <v>1989</v>
      </c>
      <c r="I184" s="3">
        <v>23868</v>
      </c>
      <c r="J184">
        <v>5</v>
      </c>
      <c r="K184">
        <v>3</v>
      </c>
      <c r="L184">
        <v>40</v>
      </c>
      <c r="M184" t="s">
        <v>6</v>
      </c>
      <c r="N184" t="str">
        <f>IF(tblCustomer[[#This Row],[Monthly Revenue]]&gt;=30000, "Tier 1 ", IF(tblCustomer[[#This Row],[Monthly Revenue]]&gt;= 15000,"Tier 2 ","Tier 3 "))</f>
        <v xml:space="preserve">Tier 3 </v>
      </c>
      <c r="O184" t="s">
        <v>1032</v>
      </c>
    </row>
    <row r="185" spans="1:15" x14ac:dyDescent="0.25">
      <c r="A185" t="s">
        <v>385</v>
      </c>
      <c r="B185" t="s">
        <v>386</v>
      </c>
      <c r="C185" t="s">
        <v>14</v>
      </c>
      <c r="D185" t="s">
        <v>4</v>
      </c>
      <c r="E185" t="s">
        <v>28</v>
      </c>
      <c r="F185">
        <v>29</v>
      </c>
      <c r="G185" t="b">
        <v>0</v>
      </c>
      <c r="H185" s="3">
        <v>19790</v>
      </c>
      <c r="I185" s="3">
        <v>237480</v>
      </c>
      <c r="J185">
        <v>3</v>
      </c>
      <c r="K185">
        <v>1.67</v>
      </c>
      <c r="L185">
        <v>45</v>
      </c>
      <c r="M185" t="s">
        <v>6</v>
      </c>
      <c r="N185" t="str">
        <f>IF(tblCustomer[[#This Row],[Monthly Revenue]]&gt;=30000, "Tier 1 ", IF(tblCustomer[[#This Row],[Monthly Revenue]]&gt;= 15000,"Tier 2 ","Tier 3 "))</f>
        <v xml:space="preserve">Tier 2 </v>
      </c>
      <c r="O185" t="s">
        <v>1032</v>
      </c>
    </row>
    <row r="186" spans="1:15" x14ac:dyDescent="0.25">
      <c r="A186" t="s">
        <v>387</v>
      </c>
      <c r="B186" t="s">
        <v>388</v>
      </c>
      <c r="C186" t="s">
        <v>17</v>
      </c>
      <c r="D186" t="s">
        <v>4</v>
      </c>
      <c r="E186" t="s">
        <v>5</v>
      </c>
      <c r="F186">
        <v>16</v>
      </c>
      <c r="G186" t="b">
        <v>0</v>
      </c>
      <c r="H186" s="3">
        <v>34589</v>
      </c>
      <c r="I186" s="3">
        <v>415068</v>
      </c>
      <c r="J186">
        <v>4</v>
      </c>
      <c r="K186">
        <v>3</v>
      </c>
      <c r="L186">
        <v>30</v>
      </c>
      <c r="M186" t="s">
        <v>11</v>
      </c>
      <c r="N186" t="str">
        <f>IF(tblCustomer[[#This Row],[Monthly Revenue]]&gt;=30000, "Tier 1 ", IF(tblCustomer[[#This Row],[Monthly Revenue]]&gt;= 15000,"Tier 2 ","Tier 3 "))</f>
        <v xml:space="preserve">Tier 1 </v>
      </c>
      <c r="O186" t="s">
        <v>1029</v>
      </c>
    </row>
    <row r="187" spans="1:15" x14ac:dyDescent="0.25">
      <c r="A187" t="s">
        <v>389</v>
      </c>
      <c r="B187" t="s">
        <v>390</v>
      </c>
      <c r="C187" t="s">
        <v>17</v>
      </c>
      <c r="D187" t="s">
        <v>4</v>
      </c>
      <c r="E187" t="s">
        <v>22</v>
      </c>
      <c r="F187">
        <v>10</v>
      </c>
      <c r="G187" t="b">
        <v>1</v>
      </c>
      <c r="H187" s="3">
        <v>9027</v>
      </c>
      <c r="I187" s="3">
        <v>108324</v>
      </c>
      <c r="J187">
        <v>9</v>
      </c>
      <c r="K187">
        <v>2</v>
      </c>
      <c r="L187">
        <v>35</v>
      </c>
      <c r="M187" t="s">
        <v>6</v>
      </c>
      <c r="N187" t="str">
        <f>IF(tblCustomer[[#This Row],[Monthly Revenue]]&gt;=30000, "Tier 1 ", IF(tblCustomer[[#This Row],[Monthly Revenue]]&gt;= 15000,"Tier 2 ","Tier 3 "))</f>
        <v xml:space="preserve">Tier 3 </v>
      </c>
      <c r="O187" t="s">
        <v>1032</v>
      </c>
    </row>
    <row r="188" spans="1:15" x14ac:dyDescent="0.25">
      <c r="A188" t="s">
        <v>391</v>
      </c>
      <c r="B188" t="s">
        <v>392</v>
      </c>
      <c r="C188" t="s">
        <v>17</v>
      </c>
      <c r="D188" t="s">
        <v>4</v>
      </c>
      <c r="E188" t="s">
        <v>28</v>
      </c>
      <c r="F188">
        <v>28</v>
      </c>
      <c r="G188" t="b">
        <v>0</v>
      </c>
      <c r="H188" s="3">
        <v>8540</v>
      </c>
      <c r="I188" s="3">
        <v>102480</v>
      </c>
      <c r="J188">
        <v>4</v>
      </c>
      <c r="K188">
        <v>1.5</v>
      </c>
      <c r="L188">
        <v>45</v>
      </c>
      <c r="M188" t="s">
        <v>6</v>
      </c>
      <c r="N188" t="str">
        <f>IF(tblCustomer[[#This Row],[Monthly Revenue]]&gt;=30000, "Tier 1 ", IF(tblCustomer[[#This Row],[Monthly Revenue]]&gt;= 15000,"Tier 2 ","Tier 3 "))</f>
        <v xml:space="preserve">Tier 3 </v>
      </c>
      <c r="O188" t="s">
        <v>1030</v>
      </c>
    </row>
    <row r="189" spans="1:15" x14ac:dyDescent="0.25">
      <c r="A189" t="s">
        <v>393</v>
      </c>
      <c r="B189" t="s">
        <v>394</v>
      </c>
      <c r="C189" t="s">
        <v>14</v>
      </c>
      <c r="D189" t="s">
        <v>54</v>
      </c>
      <c r="E189" t="s">
        <v>22</v>
      </c>
      <c r="F189">
        <v>4</v>
      </c>
      <c r="G189" t="b">
        <v>1</v>
      </c>
      <c r="H189" s="3">
        <v>10362</v>
      </c>
      <c r="I189" s="3">
        <v>124344</v>
      </c>
      <c r="J189">
        <v>2</v>
      </c>
      <c r="K189">
        <v>2.5</v>
      </c>
      <c r="L189">
        <v>30</v>
      </c>
      <c r="M189" t="s">
        <v>11</v>
      </c>
      <c r="N189" t="str">
        <f>IF(tblCustomer[[#This Row],[Monthly Revenue]]&gt;=30000, "Tier 1 ", IF(tblCustomer[[#This Row],[Monthly Revenue]]&gt;= 15000,"Tier 2 ","Tier 3 "))</f>
        <v xml:space="preserve">Tier 3 </v>
      </c>
      <c r="O189" t="s">
        <v>1027</v>
      </c>
    </row>
    <row r="190" spans="1:15" x14ac:dyDescent="0.25">
      <c r="A190" t="s">
        <v>395</v>
      </c>
      <c r="B190" t="s">
        <v>396</v>
      </c>
      <c r="C190" t="s">
        <v>14</v>
      </c>
      <c r="D190" t="s">
        <v>90</v>
      </c>
      <c r="E190" t="s">
        <v>28</v>
      </c>
      <c r="F190">
        <v>8</v>
      </c>
      <c r="G190" t="b">
        <v>0</v>
      </c>
      <c r="H190" s="3">
        <v>18746</v>
      </c>
      <c r="I190" s="3">
        <v>224952</v>
      </c>
      <c r="J190">
        <v>6</v>
      </c>
      <c r="K190">
        <v>2.67</v>
      </c>
      <c r="L190">
        <v>40</v>
      </c>
      <c r="M190" t="s">
        <v>6</v>
      </c>
      <c r="N190" t="str">
        <f>IF(tblCustomer[[#This Row],[Monthly Revenue]]&gt;=30000, "Tier 1 ", IF(tblCustomer[[#This Row],[Monthly Revenue]]&gt;= 15000,"Tier 2 ","Tier 3 "))</f>
        <v xml:space="preserve">Tier 2 </v>
      </c>
      <c r="O190" t="s">
        <v>1027</v>
      </c>
    </row>
    <row r="191" spans="1:15" x14ac:dyDescent="0.25">
      <c r="A191" t="s">
        <v>397</v>
      </c>
      <c r="B191" t="s">
        <v>398</v>
      </c>
      <c r="C191" t="s">
        <v>27</v>
      </c>
      <c r="D191" t="s">
        <v>4</v>
      </c>
      <c r="E191" t="s">
        <v>5</v>
      </c>
      <c r="F191">
        <v>11</v>
      </c>
      <c r="G191" t="b">
        <v>0</v>
      </c>
      <c r="H191" s="3">
        <v>16577</v>
      </c>
      <c r="I191" s="3">
        <v>198924</v>
      </c>
      <c r="J191">
        <v>5</v>
      </c>
      <c r="K191">
        <v>3</v>
      </c>
      <c r="L191">
        <v>40</v>
      </c>
      <c r="M191" t="s">
        <v>6</v>
      </c>
      <c r="N191" t="str">
        <f>IF(tblCustomer[[#This Row],[Monthly Revenue]]&gt;=30000, "Tier 1 ", IF(tblCustomer[[#This Row],[Monthly Revenue]]&gt;= 15000,"Tier 2 ","Tier 3 "))</f>
        <v xml:space="preserve">Tier 2 </v>
      </c>
      <c r="O191" t="s">
        <v>1029</v>
      </c>
    </row>
    <row r="192" spans="1:15" x14ac:dyDescent="0.25">
      <c r="A192" t="s">
        <v>399</v>
      </c>
      <c r="B192" t="s">
        <v>400</v>
      </c>
      <c r="C192" t="s">
        <v>14</v>
      </c>
      <c r="D192" t="s">
        <v>18</v>
      </c>
      <c r="E192" t="s">
        <v>22</v>
      </c>
      <c r="F192">
        <v>14</v>
      </c>
      <c r="G192" t="b">
        <v>0</v>
      </c>
      <c r="H192" s="3">
        <v>25079</v>
      </c>
      <c r="I192" s="3">
        <v>300948</v>
      </c>
      <c r="J192">
        <v>6</v>
      </c>
      <c r="K192">
        <v>2.83</v>
      </c>
      <c r="L192">
        <v>40</v>
      </c>
      <c r="M192" t="s">
        <v>6</v>
      </c>
      <c r="N192" t="str">
        <f>IF(tblCustomer[[#This Row],[Monthly Revenue]]&gt;=30000, "Tier 1 ", IF(tblCustomer[[#This Row],[Monthly Revenue]]&gt;= 15000,"Tier 2 ","Tier 3 "))</f>
        <v xml:space="preserve">Tier 2 </v>
      </c>
      <c r="O192" t="s">
        <v>1028</v>
      </c>
    </row>
    <row r="193" spans="1:15" x14ac:dyDescent="0.25">
      <c r="A193" t="s">
        <v>401</v>
      </c>
      <c r="B193" t="s">
        <v>402</v>
      </c>
      <c r="C193" t="s">
        <v>17</v>
      </c>
      <c r="D193" t="s">
        <v>4</v>
      </c>
      <c r="E193" t="s">
        <v>28</v>
      </c>
      <c r="F193">
        <v>19</v>
      </c>
      <c r="G193" t="b">
        <v>0</v>
      </c>
      <c r="H193" s="3">
        <v>28120</v>
      </c>
      <c r="I193" s="3">
        <v>337440</v>
      </c>
      <c r="J193">
        <v>5</v>
      </c>
      <c r="K193">
        <v>1.6</v>
      </c>
      <c r="L193">
        <v>55</v>
      </c>
      <c r="M193" t="s">
        <v>6</v>
      </c>
      <c r="N193" t="str">
        <f>IF(tblCustomer[[#This Row],[Monthly Revenue]]&gt;=30000, "Tier 1 ", IF(tblCustomer[[#This Row],[Monthly Revenue]]&gt;= 15000,"Tier 2 ","Tier 3 "))</f>
        <v xml:space="preserve">Tier 2 </v>
      </c>
      <c r="O193" t="s">
        <v>1030</v>
      </c>
    </row>
    <row r="194" spans="1:15" x14ac:dyDescent="0.25">
      <c r="A194" t="s">
        <v>403</v>
      </c>
      <c r="B194" t="s">
        <v>404</v>
      </c>
      <c r="C194" t="s">
        <v>27</v>
      </c>
      <c r="D194" t="s">
        <v>4</v>
      </c>
      <c r="E194" t="s">
        <v>22</v>
      </c>
      <c r="F194">
        <v>3</v>
      </c>
      <c r="G194" t="b">
        <v>0</v>
      </c>
      <c r="H194" s="3">
        <v>17831</v>
      </c>
      <c r="I194" s="3">
        <v>213972</v>
      </c>
      <c r="J194">
        <v>6</v>
      </c>
      <c r="K194">
        <v>1</v>
      </c>
      <c r="L194">
        <v>70</v>
      </c>
      <c r="M194" t="s">
        <v>19</v>
      </c>
      <c r="N194" t="str">
        <f>IF(tblCustomer[[#This Row],[Monthly Revenue]]&gt;=30000, "Tier 1 ", IF(tblCustomer[[#This Row],[Monthly Revenue]]&gt;= 15000,"Tier 2 ","Tier 3 "))</f>
        <v xml:space="preserve">Tier 2 </v>
      </c>
      <c r="O194" t="s">
        <v>1027</v>
      </c>
    </row>
    <row r="195" spans="1:15" x14ac:dyDescent="0.25">
      <c r="A195" t="s">
        <v>405</v>
      </c>
      <c r="B195" t="s">
        <v>406</v>
      </c>
      <c r="C195" t="s">
        <v>17</v>
      </c>
      <c r="D195" t="s">
        <v>4</v>
      </c>
      <c r="E195" t="s">
        <v>5</v>
      </c>
      <c r="F195">
        <v>5</v>
      </c>
      <c r="G195" t="b">
        <v>0</v>
      </c>
      <c r="H195" s="3">
        <v>28081</v>
      </c>
      <c r="I195" s="3">
        <v>336972</v>
      </c>
      <c r="J195">
        <v>5</v>
      </c>
      <c r="K195">
        <v>3.2</v>
      </c>
      <c r="L195">
        <v>10</v>
      </c>
      <c r="M195" t="s">
        <v>11</v>
      </c>
      <c r="N195" t="str">
        <f>IF(tblCustomer[[#This Row],[Monthly Revenue]]&gt;=30000, "Tier 1 ", IF(tblCustomer[[#This Row],[Monthly Revenue]]&gt;= 15000,"Tier 2 ","Tier 3 "))</f>
        <v xml:space="preserve">Tier 2 </v>
      </c>
      <c r="O195" t="s">
        <v>1032</v>
      </c>
    </row>
    <row r="196" spans="1:15" x14ac:dyDescent="0.25">
      <c r="A196" t="s">
        <v>407</v>
      </c>
      <c r="B196" t="s">
        <v>408</v>
      </c>
      <c r="C196" t="s">
        <v>27</v>
      </c>
      <c r="D196" t="s">
        <v>18</v>
      </c>
      <c r="E196" t="s">
        <v>22</v>
      </c>
      <c r="F196">
        <v>13</v>
      </c>
      <c r="G196" t="b">
        <v>0</v>
      </c>
      <c r="H196" s="3">
        <v>15072</v>
      </c>
      <c r="I196" s="3">
        <v>180864</v>
      </c>
      <c r="J196">
        <v>5</v>
      </c>
      <c r="K196">
        <v>2.4</v>
      </c>
      <c r="L196">
        <v>55</v>
      </c>
      <c r="M196" t="s">
        <v>6</v>
      </c>
      <c r="N196" t="str">
        <f>IF(tblCustomer[[#This Row],[Monthly Revenue]]&gt;=30000, "Tier 1 ", IF(tblCustomer[[#This Row],[Monthly Revenue]]&gt;= 15000,"Tier 2 ","Tier 3 "))</f>
        <v xml:space="preserve">Tier 2 </v>
      </c>
      <c r="O196" t="s">
        <v>1029</v>
      </c>
    </row>
    <row r="197" spans="1:15" x14ac:dyDescent="0.25">
      <c r="A197" t="s">
        <v>409</v>
      </c>
      <c r="B197" t="s">
        <v>410</v>
      </c>
      <c r="C197" t="s">
        <v>3</v>
      </c>
      <c r="D197" t="s">
        <v>4</v>
      </c>
      <c r="E197" t="s">
        <v>5</v>
      </c>
      <c r="F197">
        <v>5</v>
      </c>
      <c r="G197" t="b">
        <v>1</v>
      </c>
      <c r="H197" s="3">
        <v>30550</v>
      </c>
      <c r="I197" s="3">
        <v>366600</v>
      </c>
      <c r="J197">
        <v>2</v>
      </c>
      <c r="K197">
        <v>2.5</v>
      </c>
      <c r="L197">
        <v>30</v>
      </c>
      <c r="M197" t="s">
        <v>11</v>
      </c>
      <c r="N197" t="str">
        <f>IF(tblCustomer[[#This Row],[Monthly Revenue]]&gt;=30000, "Tier 1 ", IF(tblCustomer[[#This Row],[Monthly Revenue]]&gt;= 15000,"Tier 2 ","Tier 3 "))</f>
        <v xml:space="preserve">Tier 1 </v>
      </c>
      <c r="O197" t="s">
        <v>1031</v>
      </c>
    </row>
    <row r="198" spans="1:15" x14ac:dyDescent="0.25">
      <c r="A198" t="s">
        <v>411</v>
      </c>
      <c r="B198" t="s">
        <v>412</v>
      </c>
      <c r="C198" t="s">
        <v>14</v>
      </c>
      <c r="D198" t="s">
        <v>71</v>
      </c>
      <c r="E198" t="s">
        <v>5</v>
      </c>
      <c r="F198">
        <v>2</v>
      </c>
      <c r="G198" t="b">
        <v>1</v>
      </c>
      <c r="H198" s="3">
        <v>13343</v>
      </c>
      <c r="I198" s="3">
        <v>160116</v>
      </c>
      <c r="J198">
        <v>3</v>
      </c>
      <c r="K198">
        <v>4.33</v>
      </c>
      <c r="L198">
        <v>30</v>
      </c>
      <c r="M198" t="s">
        <v>11</v>
      </c>
      <c r="N198" t="str">
        <f>IF(tblCustomer[[#This Row],[Monthly Revenue]]&gt;=30000, "Tier 1 ", IF(tblCustomer[[#This Row],[Monthly Revenue]]&gt;= 15000,"Tier 2 ","Tier 3 "))</f>
        <v xml:space="preserve">Tier 3 </v>
      </c>
      <c r="O198" t="s">
        <v>1030</v>
      </c>
    </row>
    <row r="199" spans="1:15" x14ac:dyDescent="0.25">
      <c r="A199" t="s">
        <v>413</v>
      </c>
      <c r="B199" t="s">
        <v>414</v>
      </c>
      <c r="C199" t="s">
        <v>17</v>
      </c>
      <c r="D199" t="s">
        <v>10</v>
      </c>
      <c r="E199" t="s">
        <v>28</v>
      </c>
      <c r="F199">
        <v>20</v>
      </c>
      <c r="G199" t="b">
        <v>0</v>
      </c>
      <c r="H199" s="3">
        <v>27661</v>
      </c>
      <c r="I199" s="3">
        <v>331932</v>
      </c>
      <c r="J199">
        <v>7</v>
      </c>
      <c r="K199">
        <v>2.4300000000000002</v>
      </c>
      <c r="L199">
        <v>25</v>
      </c>
      <c r="M199" t="s">
        <v>11</v>
      </c>
      <c r="N199" t="str">
        <f>IF(tblCustomer[[#This Row],[Monthly Revenue]]&gt;=30000, "Tier 1 ", IF(tblCustomer[[#This Row],[Monthly Revenue]]&gt;= 15000,"Tier 2 ","Tier 3 "))</f>
        <v xml:space="preserve">Tier 2 </v>
      </c>
      <c r="O199" t="s">
        <v>1028</v>
      </c>
    </row>
    <row r="200" spans="1:15" x14ac:dyDescent="0.25">
      <c r="A200" t="s">
        <v>415</v>
      </c>
      <c r="B200" t="s">
        <v>416</v>
      </c>
      <c r="C200" t="s">
        <v>3</v>
      </c>
      <c r="D200" t="s">
        <v>4</v>
      </c>
      <c r="E200" t="s">
        <v>5</v>
      </c>
      <c r="F200">
        <v>45</v>
      </c>
      <c r="G200" t="b">
        <v>0</v>
      </c>
      <c r="H200" s="3">
        <v>61935</v>
      </c>
      <c r="I200" s="3">
        <v>743220</v>
      </c>
      <c r="J200">
        <v>3</v>
      </c>
      <c r="K200">
        <v>1</v>
      </c>
      <c r="L200">
        <v>60</v>
      </c>
      <c r="M200" t="s">
        <v>19</v>
      </c>
      <c r="N200" t="str">
        <f>IF(tblCustomer[[#This Row],[Monthly Revenue]]&gt;=30000, "Tier 1 ", IF(tblCustomer[[#This Row],[Monthly Revenue]]&gt;= 15000,"Tier 2 ","Tier 3 "))</f>
        <v xml:space="preserve">Tier 1 </v>
      </c>
      <c r="O200" t="s">
        <v>1031</v>
      </c>
    </row>
    <row r="201" spans="1:15" x14ac:dyDescent="0.25">
      <c r="A201" t="s">
        <v>417</v>
      </c>
      <c r="B201" t="s">
        <v>418</v>
      </c>
      <c r="C201" t="s">
        <v>14</v>
      </c>
      <c r="D201" t="s">
        <v>54</v>
      </c>
      <c r="E201" t="s">
        <v>28</v>
      </c>
      <c r="F201">
        <v>3</v>
      </c>
      <c r="G201" t="b">
        <v>1</v>
      </c>
      <c r="H201" s="3">
        <v>9514</v>
      </c>
      <c r="I201" s="3">
        <v>114168</v>
      </c>
      <c r="J201">
        <v>2</v>
      </c>
      <c r="K201">
        <v>1.5</v>
      </c>
      <c r="L201">
        <v>45</v>
      </c>
      <c r="M201" t="s">
        <v>6</v>
      </c>
      <c r="N201" t="str">
        <f>IF(tblCustomer[[#This Row],[Monthly Revenue]]&gt;=30000, "Tier 1 ", IF(tblCustomer[[#This Row],[Monthly Revenue]]&gt;= 15000,"Tier 2 ","Tier 3 "))</f>
        <v xml:space="preserve">Tier 3 </v>
      </c>
      <c r="O201" t="s">
        <v>1030</v>
      </c>
    </row>
    <row r="202" spans="1:15" x14ac:dyDescent="0.25">
      <c r="A202" t="s">
        <v>419</v>
      </c>
      <c r="B202" t="s">
        <v>420</v>
      </c>
      <c r="C202" t="s">
        <v>17</v>
      </c>
      <c r="D202" t="s">
        <v>10</v>
      </c>
      <c r="E202" t="s">
        <v>28</v>
      </c>
      <c r="F202">
        <v>3</v>
      </c>
      <c r="G202" t="b">
        <v>1</v>
      </c>
      <c r="H202" s="3">
        <v>17040</v>
      </c>
      <c r="I202" s="3">
        <v>204480</v>
      </c>
      <c r="J202">
        <v>4</v>
      </c>
      <c r="K202">
        <v>3.5</v>
      </c>
      <c r="L202">
        <v>30</v>
      </c>
      <c r="M202" t="s">
        <v>11</v>
      </c>
      <c r="N202" t="str">
        <f>IF(tblCustomer[[#This Row],[Monthly Revenue]]&gt;=30000, "Tier 1 ", IF(tblCustomer[[#This Row],[Monthly Revenue]]&gt;= 15000,"Tier 2 ","Tier 3 "))</f>
        <v xml:space="preserve">Tier 2 </v>
      </c>
      <c r="O202" t="s">
        <v>1031</v>
      </c>
    </row>
    <row r="203" spans="1:15" x14ac:dyDescent="0.25">
      <c r="A203" t="s">
        <v>421</v>
      </c>
      <c r="B203" t="s">
        <v>422</v>
      </c>
      <c r="C203" t="s">
        <v>9</v>
      </c>
      <c r="D203" t="s">
        <v>4</v>
      </c>
      <c r="E203" t="s">
        <v>28</v>
      </c>
      <c r="F203">
        <v>1</v>
      </c>
      <c r="G203" t="b">
        <v>0</v>
      </c>
      <c r="H203" s="3">
        <v>8889</v>
      </c>
      <c r="I203" s="3">
        <v>106668</v>
      </c>
      <c r="J203">
        <v>2</v>
      </c>
      <c r="K203">
        <v>0</v>
      </c>
      <c r="L203">
        <v>60</v>
      </c>
      <c r="M203" t="s">
        <v>19</v>
      </c>
      <c r="N203" t="str">
        <f>IF(tblCustomer[[#This Row],[Monthly Revenue]]&gt;=30000, "Tier 1 ", IF(tblCustomer[[#This Row],[Monthly Revenue]]&gt;= 15000,"Tier 2 ","Tier 3 "))</f>
        <v xml:space="preserve">Tier 3 </v>
      </c>
      <c r="O203" t="s">
        <v>1031</v>
      </c>
    </row>
    <row r="204" spans="1:15" x14ac:dyDescent="0.25">
      <c r="A204" t="s">
        <v>423</v>
      </c>
      <c r="B204" t="s">
        <v>424</v>
      </c>
      <c r="C204" t="s">
        <v>17</v>
      </c>
      <c r="D204" t="s">
        <v>4</v>
      </c>
      <c r="E204" t="s">
        <v>5</v>
      </c>
      <c r="F204">
        <v>4</v>
      </c>
      <c r="G204" t="b">
        <v>0</v>
      </c>
      <c r="H204" s="3">
        <v>32270</v>
      </c>
      <c r="I204" s="3">
        <v>387240</v>
      </c>
      <c r="J204">
        <v>5</v>
      </c>
      <c r="K204">
        <v>0.8</v>
      </c>
      <c r="L204">
        <v>70</v>
      </c>
      <c r="M204" t="s">
        <v>19</v>
      </c>
      <c r="N204" t="str">
        <f>IF(tblCustomer[[#This Row],[Monthly Revenue]]&gt;=30000, "Tier 1 ", IF(tblCustomer[[#This Row],[Monthly Revenue]]&gt;= 15000,"Tier 2 ","Tier 3 "))</f>
        <v xml:space="preserve">Tier 1 </v>
      </c>
      <c r="O204" t="s">
        <v>1029</v>
      </c>
    </row>
    <row r="205" spans="1:15" x14ac:dyDescent="0.25">
      <c r="A205" t="s">
        <v>425</v>
      </c>
      <c r="B205" t="s">
        <v>426</v>
      </c>
      <c r="C205" t="s">
        <v>14</v>
      </c>
      <c r="D205" t="s">
        <v>4</v>
      </c>
      <c r="E205" t="s">
        <v>28</v>
      </c>
      <c r="F205">
        <v>23</v>
      </c>
      <c r="G205" t="b">
        <v>0</v>
      </c>
      <c r="H205" s="3">
        <v>60970</v>
      </c>
      <c r="I205" s="3">
        <v>731640</v>
      </c>
      <c r="J205">
        <v>2</v>
      </c>
      <c r="K205">
        <v>2</v>
      </c>
      <c r="L205">
        <v>45</v>
      </c>
      <c r="M205" t="s">
        <v>6</v>
      </c>
      <c r="N205" t="str">
        <f>IF(tblCustomer[[#This Row],[Monthly Revenue]]&gt;=30000, "Tier 1 ", IF(tblCustomer[[#This Row],[Monthly Revenue]]&gt;= 15000,"Tier 2 ","Tier 3 "))</f>
        <v xml:space="preserve">Tier 1 </v>
      </c>
      <c r="O205" t="s">
        <v>1027</v>
      </c>
    </row>
    <row r="206" spans="1:15" x14ac:dyDescent="0.25">
      <c r="A206" t="s">
        <v>427</v>
      </c>
      <c r="B206" t="s">
        <v>428</v>
      </c>
      <c r="C206" t="s">
        <v>27</v>
      </c>
      <c r="D206" t="s">
        <v>10</v>
      </c>
      <c r="E206" t="s">
        <v>22</v>
      </c>
      <c r="F206">
        <v>19</v>
      </c>
      <c r="G206" t="b">
        <v>0</v>
      </c>
      <c r="H206" s="3">
        <v>6460</v>
      </c>
      <c r="I206" s="3">
        <v>77520</v>
      </c>
      <c r="J206">
        <v>3</v>
      </c>
      <c r="K206">
        <v>0</v>
      </c>
      <c r="L206">
        <v>60</v>
      </c>
      <c r="M206" t="s">
        <v>19</v>
      </c>
      <c r="N206" t="str">
        <f>IF(tblCustomer[[#This Row],[Monthly Revenue]]&gt;=30000, "Tier 1 ", IF(tblCustomer[[#This Row],[Monthly Revenue]]&gt;= 15000,"Tier 2 ","Tier 3 "))</f>
        <v xml:space="preserve">Tier 3 </v>
      </c>
      <c r="O206" t="s">
        <v>1027</v>
      </c>
    </row>
    <row r="207" spans="1:15" x14ac:dyDescent="0.25">
      <c r="A207" t="s">
        <v>429</v>
      </c>
      <c r="B207" t="s">
        <v>430</v>
      </c>
      <c r="C207" t="s">
        <v>14</v>
      </c>
      <c r="D207" t="s">
        <v>71</v>
      </c>
      <c r="E207" t="s">
        <v>22</v>
      </c>
      <c r="F207">
        <v>50</v>
      </c>
      <c r="G207" t="b">
        <v>0</v>
      </c>
      <c r="H207" s="3">
        <v>52204</v>
      </c>
      <c r="I207" s="3">
        <v>626448</v>
      </c>
      <c r="J207">
        <v>3</v>
      </c>
      <c r="K207">
        <v>4.67</v>
      </c>
      <c r="L207">
        <v>30</v>
      </c>
      <c r="M207" t="s">
        <v>11</v>
      </c>
      <c r="N207" t="str">
        <f>IF(tblCustomer[[#This Row],[Monthly Revenue]]&gt;=30000, "Tier 1 ", IF(tblCustomer[[#This Row],[Monthly Revenue]]&gt;= 15000,"Tier 2 ","Tier 3 "))</f>
        <v xml:space="preserve">Tier 1 </v>
      </c>
      <c r="O207" t="s">
        <v>1032</v>
      </c>
    </row>
    <row r="208" spans="1:15" x14ac:dyDescent="0.25">
      <c r="A208" t="s">
        <v>431</v>
      </c>
      <c r="B208" t="s">
        <v>432</v>
      </c>
      <c r="C208" t="s">
        <v>27</v>
      </c>
      <c r="D208" t="s">
        <v>4</v>
      </c>
      <c r="E208" t="s">
        <v>28</v>
      </c>
      <c r="F208">
        <v>32</v>
      </c>
      <c r="G208" t="b">
        <v>1</v>
      </c>
      <c r="H208" s="3">
        <v>18656</v>
      </c>
      <c r="I208" s="3">
        <v>223872</v>
      </c>
      <c r="J208">
        <v>4</v>
      </c>
      <c r="K208">
        <v>1.25</v>
      </c>
      <c r="L208">
        <v>60</v>
      </c>
      <c r="M208" t="s">
        <v>19</v>
      </c>
      <c r="N208" t="str">
        <f>IF(tblCustomer[[#This Row],[Monthly Revenue]]&gt;=30000, "Tier 1 ", IF(tblCustomer[[#This Row],[Monthly Revenue]]&gt;= 15000,"Tier 2 ","Tier 3 "))</f>
        <v xml:space="preserve">Tier 2 </v>
      </c>
      <c r="O208" t="s">
        <v>1027</v>
      </c>
    </row>
    <row r="209" spans="1:15" x14ac:dyDescent="0.25">
      <c r="A209" t="s">
        <v>433</v>
      </c>
      <c r="B209" t="s">
        <v>434</v>
      </c>
      <c r="C209" t="s">
        <v>27</v>
      </c>
      <c r="D209" t="s">
        <v>71</v>
      </c>
      <c r="E209" t="s">
        <v>22</v>
      </c>
      <c r="F209">
        <v>4</v>
      </c>
      <c r="G209" t="b">
        <v>0</v>
      </c>
      <c r="H209" s="3">
        <v>20964</v>
      </c>
      <c r="I209" s="3">
        <v>251568</v>
      </c>
      <c r="J209">
        <v>5</v>
      </c>
      <c r="K209">
        <v>3</v>
      </c>
      <c r="L209">
        <v>40</v>
      </c>
      <c r="M209" t="s">
        <v>6</v>
      </c>
      <c r="N209" t="str">
        <f>IF(tblCustomer[[#This Row],[Monthly Revenue]]&gt;=30000, "Tier 1 ", IF(tblCustomer[[#This Row],[Monthly Revenue]]&gt;= 15000,"Tier 2 ","Tier 3 "))</f>
        <v xml:space="preserve">Tier 2 </v>
      </c>
      <c r="O209" t="s">
        <v>1028</v>
      </c>
    </row>
    <row r="210" spans="1:15" x14ac:dyDescent="0.25">
      <c r="A210" t="s">
        <v>435</v>
      </c>
      <c r="B210" t="s">
        <v>436</v>
      </c>
      <c r="C210" t="s">
        <v>9</v>
      </c>
      <c r="D210" t="s">
        <v>71</v>
      </c>
      <c r="E210" t="s">
        <v>5</v>
      </c>
      <c r="F210">
        <v>19</v>
      </c>
      <c r="G210" t="b">
        <v>0</v>
      </c>
      <c r="H210" s="3">
        <v>8436</v>
      </c>
      <c r="I210" s="3">
        <v>101232</v>
      </c>
      <c r="J210">
        <v>3</v>
      </c>
      <c r="K210">
        <v>1</v>
      </c>
      <c r="L210">
        <v>30</v>
      </c>
      <c r="M210" t="s">
        <v>11</v>
      </c>
      <c r="N210" t="str">
        <f>IF(tblCustomer[[#This Row],[Monthly Revenue]]&gt;=30000, "Tier 1 ", IF(tblCustomer[[#This Row],[Monthly Revenue]]&gt;= 15000,"Tier 2 ","Tier 3 "))</f>
        <v xml:space="preserve">Tier 3 </v>
      </c>
      <c r="O210" t="s">
        <v>1029</v>
      </c>
    </row>
    <row r="211" spans="1:15" x14ac:dyDescent="0.25">
      <c r="A211" t="s">
        <v>437</v>
      </c>
      <c r="B211" t="s">
        <v>438</v>
      </c>
      <c r="C211" t="s">
        <v>14</v>
      </c>
      <c r="D211" t="s">
        <v>10</v>
      </c>
      <c r="E211" t="s">
        <v>28</v>
      </c>
      <c r="F211">
        <v>27</v>
      </c>
      <c r="G211" t="b">
        <v>0</v>
      </c>
      <c r="H211" s="3">
        <v>21075</v>
      </c>
      <c r="I211" s="3">
        <v>252900</v>
      </c>
      <c r="J211">
        <v>7</v>
      </c>
      <c r="K211">
        <v>1.57</v>
      </c>
      <c r="L211">
        <v>55</v>
      </c>
      <c r="M211" t="s">
        <v>6</v>
      </c>
      <c r="N211" t="str">
        <f>IF(tblCustomer[[#This Row],[Monthly Revenue]]&gt;=30000, "Tier 1 ", IF(tblCustomer[[#This Row],[Monthly Revenue]]&gt;= 15000,"Tier 2 ","Tier 3 "))</f>
        <v xml:space="preserve">Tier 2 </v>
      </c>
      <c r="O211" t="s">
        <v>1028</v>
      </c>
    </row>
    <row r="212" spans="1:15" x14ac:dyDescent="0.25">
      <c r="A212" t="s">
        <v>439</v>
      </c>
      <c r="B212" t="s">
        <v>440</v>
      </c>
      <c r="C212" t="s">
        <v>9</v>
      </c>
      <c r="D212" t="s">
        <v>4</v>
      </c>
      <c r="E212" t="s">
        <v>5</v>
      </c>
      <c r="F212">
        <v>24</v>
      </c>
      <c r="G212" t="b">
        <v>0</v>
      </c>
      <c r="H212" s="3">
        <v>15960</v>
      </c>
      <c r="I212" s="3">
        <v>191520</v>
      </c>
      <c r="J212">
        <v>5</v>
      </c>
      <c r="K212">
        <v>1.4</v>
      </c>
      <c r="L212">
        <v>40</v>
      </c>
      <c r="M212" t="s">
        <v>6</v>
      </c>
      <c r="N212" t="str">
        <f>IF(tblCustomer[[#This Row],[Monthly Revenue]]&gt;=30000, "Tier 1 ", IF(tblCustomer[[#This Row],[Monthly Revenue]]&gt;= 15000,"Tier 2 ","Tier 3 "))</f>
        <v xml:space="preserve">Tier 2 </v>
      </c>
      <c r="O212" t="s">
        <v>1027</v>
      </c>
    </row>
    <row r="213" spans="1:15" x14ac:dyDescent="0.25">
      <c r="A213" t="s">
        <v>441</v>
      </c>
      <c r="B213" t="s">
        <v>442</v>
      </c>
      <c r="C213" t="s">
        <v>17</v>
      </c>
      <c r="D213" t="s">
        <v>4</v>
      </c>
      <c r="E213" t="s">
        <v>28</v>
      </c>
      <c r="F213">
        <v>15</v>
      </c>
      <c r="G213" t="b">
        <v>0</v>
      </c>
      <c r="H213" s="3">
        <v>20915</v>
      </c>
      <c r="I213" s="3">
        <v>250980</v>
      </c>
      <c r="J213">
        <v>1</v>
      </c>
      <c r="K213">
        <v>3</v>
      </c>
      <c r="L213">
        <v>30</v>
      </c>
      <c r="M213" t="s">
        <v>11</v>
      </c>
      <c r="N213" t="str">
        <f>IF(tblCustomer[[#This Row],[Monthly Revenue]]&gt;=30000, "Tier 1 ", IF(tblCustomer[[#This Row],[Monthly Revenue]]&gt;= 15000,"Tier 2 ","Tier 3 "))</f>
        <v xml:space="preserve">Tier 2 </v>
      </c>
      <c r="O213" t="s">
        <v>1030</v>
      </c>
    </row>
    <row r="214" spans="1:15" x14ac:dyDescent="0.25">
      <c r="A214" t="s">
        <v>443</v>
      </c>
      <c r="B214" t="s">
        <v>444</v>
      </c>
      <c r="C214" t="s">
        <v>17</v>
      </c>
      <c r="D214" t="s">
        <v>54</v>
      </c>
      <c r="E214" t="s">
        <v>22</v>
      </c>
      <c r="F214">
        <v>15</v>
      </c>
      <c r="G214" t="b">
        <v>0</v>
      </c>
      <c r="H214" s="3">
        <v>23905</v>
      </c>
      <c r="I214" s="3">
        <v>286860</v>
      </c>
      <c r="J214">
        <v>5</v>
      </c>
      <c r="K214">
        <v>2</v>
      </c>
      <c r="L214">
        <v>25</v>
      </c>
      <c r="M214" t="s">
        <v>11</v>
      </c>
      <c r="N214" t="str">
        <f>IF(tblCustomer[[#This Row],[Monthly Revenue]]&gt;=30000, "Tier 1 ", IF(tblCustomer[[#This Row],[Monthly Revenue]]&gt;= 15000,"Tier 2 ","Tier 3 "))</f>
        <v xml:space="preserve">Tier 2 </v>
      </c>
      <c r="O214" t="s">
        <v>1029</v>
      </c>
    </row>
    <row r="215" spans="1:15" x14ac:dyDescent="0.25">
      <c r="A215" t="s">
        <v>445</v>
      </c>
      <c r="B215" t="s">
        <v>446</v>
      </c>
      <c r="C215" t="s">
        <v>14</v>
      </c>
      <c r="D215" t="s">
        <v>71</v>
      </c>
      <c r="E215" t="s">
        <v>5</v>
      </c>
      <c r="F215">
        <v>9</v>
      </c>
      <c r="G215" t="b">
        <v>0</v>
      </c>
      <c r="H215" s="3">
        <v>12610</v>
      </c>
      <c r="I215" s="3">
        <v>151320</v>
      </c>
      <c r="J215">
        <v>6</v>
      </c>
      <c r="K215">
        <v>2.17</v>
      </c>
      <c r="L215">
        <v>55</v>
      </c>
      <c r="M215" t="s">
        <v>6</v>
      </c>
      <c r="N215" t="str">
        <f>IF(tblCustomer[[#This Row],[Monthly Revenue]]&gt;=30000, "Tier 1 ", IF(tblCustomer[[#This Row],[Monthly Revenue]]&gt;= 15000,"Tier 2 ","Tier 3 "))</f>
        <v xml:space="preserve">Tier 3 </v>
      </c>
      <c r="O215" t="s">
        <v>1027</v>
      </c>
    </row>
    <row r="216" spans="1:15" x14ac:dyDescent="0.25">
      <c r="A216" t="s">
        <v>447</v>
      </c>
      <c r="B216" t="s">
        <v>448</v>
      </c>
      <c r="C216" t="s">
        <v>27</v>
      </c>
      <c r="D216" t="s">
        <v>4</v>
      </c>
      <c r="E216" t="s">
        <v>22</v>
      </c>
      <c r="F216">
        <v>4</v>
      </c>
      <c r="G216" t="b">
        <v>1</v>
      </c>
      <c r="H216" s="3">
        <v>15717</v>
      </c>
      <c r="I216" s="3">
        <v>188604</v>
      </c>
      <c r="J216">
        <v>2</v>
      </c>
      <c r="K216">
        <v>4</v>
      </c>
      <c r="L216">
        <v>30</v>
      </c>
      <c r="M216" t="s">
        <v>11</v>
      </c>
      <c r="N216" t="str">
        <f>IF(tblCustomer[[#This Row],[Monthly Revenue]]&gt;=30000, "Tier 1 ", IF(tblCustomer[[#This Row],[Monthly Revenue]]&gt;= 15000,"Tier 2 ","Tier 3 "))</f>
        <v xml:space="preserve">Tier 2 </v>
      </c>
      <c r="O216" t="s">
        <v>1031</v>
      </c>
    </row>
    <row r="217" spans="1:15" x14ac:dyDescent="0.25">
      <c r="A217" t="s">
        <v>449</v>
      </c>
      <c r="B217" t="s">
        <v>450</v>
      </c>
      <c r="C217" t="s">
        <v>27</v>
      </c>
      <c r="D217" t="s">
        <v>71</v>
      </c>
      <c r="E217" t="s">
        <v>28</v>
      </c>
      <c r="F217">
        <v>44</v>
      </c>
      <c r="G217" t="b">
        <v>0</v>
      </c>
      <c r="H217" s="3">
        <v>46666</v>
      </c>
      <c r="I217" s="3">
        <v>559992</v>
      </c>
      <c r="J217">
        <v>5</v>
      </c>
      <c r="K217">
        <v>2.4</v>
      </c>
      <c r="L217">
        <v>55</v>
      </c>
      <c r="M217" t="s">
        <v>6</v>
      </c>
      <c r="N217" t="str">
        <f>IF(tblCustomer[[#This Row],[Monthly Revenue]]&gt;=30000, "Tier 1 ", IF(tblCustomer[[#This Row],[Monthly Revenue]]&gt;= 15000,"Tier 2 ","Tier 3 "))</f>
        <v xml:space="preserve">Tier 1 </v>
      </c>
      <c r="O217" t="s">
        <v>1028</v>
      </c>
    </row>
    <row r="218" spans="1:15" x14ac:dyDescent="0.25">
      <c r="A218" t="s">
        <v>451</v>
      </c>
      <c r="B218" t="s">
        <v>452</v>
      </c>
      <c r="C218" t="s">
        <v>14</v>
      </c>
      <c r="D218" t="s">
        <v>71</v>
      </c>
      <c r="E218" t="s">
        <v>22</v>
      </c>
      <c r="F218">
        <v>31</v>
      </c>
      <c r="G218" t="b">
        <v>1</v>
      </c>
      <c r="H218" s="3">
        <v>31968</v>
      </c>
      <c r="I218" s="3">
        <v>383616</v>
      </c>
      <c r="J218">
        <v>5</v>
      </c>
      <c r="K218">
        <v>3.6</v>
      </c>
      <c r="L218">
        <v>40</v>
      </c>
      <c r="M218" t="s">
        <v>6</v>
      </c>
      <c r="N218" t="str">
        <f>IF(tblCustomer[[#This Row],[Monthly Revenue]]&gt;=30000, "Tier 1 ", IF(tblCustomer[[#This Row],[Monthly Revenue]]&gt;= 15000,"Tier 2 ","Tier 3 "))</f>
        <v xml:space="preserve">Tier 1 </v>
      </c>
      <c r="O218" t="s">
        <v>1032</v>
      </c>
    </row>
    <row r="219" spans="1:15" x14ac:dyDescent="0.25">
      <c r="A219" t="s">
        <v>453</v>
      </c>
      <c r="B219" t="s">
        <v>454</v>
      </c>
      <c r="C219" t="s">
        <v>9</v>
      </c>
      <c r="D219" t="s">
        <v>18</v>
      </c>
      <c r="E219" t="s">
        <v>5</v>
      </c>
      <c r="F219">
        <v>15</v>
      </c>
      <c r="G219" t="b">
        <v>0</v>
      </c>
      <c r="H219" s="3">
        <v>12030</v>
      </c>
      <c r="I219" s="3">
        <v>144360</v>
      </c>
      <c r="J219">
        <v>2</v>
      </c>
      <c r="K219">
        <v>3.5</v>
      </c>
      <c r="L219">
        <v>30</v>
      </c>
      <c r="M219" t="s">
        <v>11</v>
      </c>
      <c r="N219" t="str">
        <f>IF(tblCustomer[[#This Row],[Monthly Revenue]]&gt;=30000, "Tier 1 ", IF(tblCustomer[[#This Row],[Monthly Revenue]]&gt;= 15000,"Tier 2 ","Tier 3 "))</f>
        <v xml:space="preserve">Tier 3 </v>
      </c>
      <c r="O219" t="s">
        <v>1027</v>
      </c>
    </row>
    <row r="220" spans="1:15" x14ac:dyDescent="0.25">
      <c r="A220" t="s">
        <v>455</v>
      </c>
      <c r="B220" t="s">
        <v>456</v>
      </c>
      <c r="C220" t="s">
        <v>14</v>
      </c>
      <c r="D220" t="s">
        <v>90</v>
      </c>
      <c r="E220" t="s">
        <v>28</v>
      </c>
      <c r="F220">
        <v>11</v>
      </c>
      <c r="G220" t="b">
        <v>0</v>
      </c>
      <c r="H220" s="3">
        <v>20088</v>
      </c>
      <c r="I220" s="3">
        <v>241056</v>
      </c>
      <c r="J220">
        <v>1</v>
      </c>
      <c r="K220">
        <v>4</v>
      </c>
      <c r="L220">
        <v>30</v>
      </c>
      <c r="M220" t="s">
        <v>11</v>
      </c>
      <c r="N220" t="str">
        <f>IF(tblCustomer[[#This Row],[Monthly Revenue]]&gt;=30000, "Tier 1 ", IF(tblCustomer[[#This Row],[Monthly Revenue]]&gt;= 15000,"Tier 2 ","Tier 3 "))</f>
        <v xml:space="preserve">Tier 2 </v>
      </c>
      <c r="O220" t="s">
        <v>1032</v>
      </c>
    </row>
    <row r="221" spans="1:15" x14ac:dyDescent="0.25">
      <c r="A221" t="s">
        <v>457</v>
      </c>
      <c r="B221" t="s">
        <v>458</v>
      </c>
      <c r="C221" t="s">
        <v>27</v>
      </c>
      <c r="D221" t="s">
        <v>54</v>
      </c>
      <c r="E221" t="s">
        <v>28</v>
      </c>
      <c r="F221">
        <v>9</v>
      </c>
      <c r="G221" t="b">
        <v>0</v>
      </c>
      <c r="H221" s="3">
        <v>14751</v>
      </c>
      <c r="I221" s="3">
        <v>177012</v>
      </c>
      <c r="J221">
        <v>6</v>
      </c>
      <c r="K221">
        <v>3.5</v>
      </c>
      <c r="L221">
        <v>40</v>
      </c>
      <c r="M221" t="s">
        <v>6</v>
      </c>
      <c r="N221" t="str">
        <f>IF(tblCustomer[[#This Row],[Monthly Revenue]]&gt;=30000, "Tier 1 ", IF(tblCustomer[[#This Row],[Monthly Revenue]]&gt;= 15000,"Tier 2 ","Tier 3 "))</f>
        <v xml:space="preserve">Tier 3 </v>
      </c>
      <c r="O221" t="s">
        <v>1028</v>
      </c>
    </row>
    <row r="222" spans="1:15" x14ac:dyDescent="0.25">
      <c r="A222" t="s">
        <v>459</v>
      </c>
      <c r="B222" t="s">
        <v>460</v>
      </c>
      <c r="C222" t="s">
        <v>27</v>
      </c>
      <c r="D222" t="s">
        <v>4</v>
      </c>
      <c r="E222" t="s">
        <v>5</v>
      </c>
      <c r="F222">
        <v>8</v>
      </c>
      <c r="G222" t="b">
        <v>0</v>
      </c>
      <c r="H222" s="3">
        <v>18190</v>
      </c>
      <c r="I222" s="3">
        <v>218280</v>
      </c>
      <c r="J222">
        <v>2</v>
      </c>
      <c r="K222">
        <v>3.5</v>
      </c>
      <c r="L222">
        <v>30</v>
      </c>
      <c r="M222" t="s">
        <v>11</v>
      </c>
      <c r="N222" t="str">
        <f>IF(tblCustomer[[#This Row],[Monthly Revenue]]&gt;=30000, "Tier 1 ", IF(tblCustomer[[#This Row],[Monthly Revenue]]&gt;= 15000,"Tier 2 ","Tier 3 "))</f>
        <v xml:space="preserve">Tier 2 </v>
      </c>
      <c r="O222" t="s">
        <v>1031</v>
      </c>
    </row>
    <row r="223" spans="1:15" x14ac:dyDescent="0.25">
      <c r="A223" t="s">
        <v>461</v>
      </c>
      <c r="B223" t="s">
        <v>462</v>
      </c>
      <c r="C223" t="s">
        <v>17</v>
      </c>
      <c r="D223" t="s">
        <v>4</v>
      </c>
      <c r="E223" t="s">
        <v>5</v>
      </c>
      <c r="F223">
        <v>5</v>
      </c>
      <c r="G223" t="b">
        <v>1</v>
      </c>
      <c r="H223" s="3">
        <v>17114</v>
      </c>
      <c r="I223" s="3">
        <v>205368</v>
      </c>
      <c r="J223">
        <v>7</v>
      </c>
      <c r="K223">
        <v>1.43</v>
      </c>
      <c r="L223">
        <v>70</v>
      </c>
      <c r="M223" t="s">
        <v>19</v>
      </c>
      <c r="N223" t="str">
        <f>IF(tblCustomer[[#This Row],[Monthly Revenue]]&gt;=30000, "Tier 1 ", IF(tblCustomer[[#This Row],[Monthly Revenue]]&gt;= 15000,"Tier 2 ","Tier 3 "))</f>
        <v xml:space="preserve">Tier 2 </v>
      </c>
      <c r="O223" t="s">
        <v>1029</v>
      </c>
    </row>
    <row r="224" spans="1:15" x14ac:dyDescent="0.25">
      <c r="A224" t="s">
        <v>463</v>
      </c>
      <c r="B224" t="s">
        <v>464</v>
      </c>
      <c r="C224" t="s">
        <v>3</v>
      </c>
      <c r="D224" t="s">
        <v>18</v>
      </c>
      <c r="E224" t="s">
        <v>22</v>
      </c>
      <c r="F224">
        <v>5</v>
      </c>
      <c r="G224" t="b">
        <v>1</v>
      </c>
      <c r="H224" s="3">
        <v>11956</v>
      </c>
      <c r="I224" s="3">
        <v>143472</v>
      </c>
      <c r="J224">
        <v>6</v>
      </c>
      <c r="K224">
        <v>2.5</v>
      </c>
      <c r="L224">
        <v>40</v>
      </c>
      <c r="M224" t="s">
        <v>6</v>
      </c>
      <c r="N224" t="str">
        <f>IF(tblCustomer[[#This Row],[Monthly Revenue]]&gt;=30000, "Tier 1 ", IF(tblCustomer[[#This Row],[Monthly Revenue]]&gt;= 15000,"Tier 2 ","Tier 3 "))</f>
        <v xml:space="preserve">Tier 3 </v>
      </c>
      <c r="O224" t="s">
        <v>1028</v>
      </c>
    </row>
    <row r="225" spans="1:15" x14ac:dyDescent="0.25">
      <c r="A225" t="s">
        <v>465</v>
      </c>
      <c r="B225" t="s">
        <v>466</v>
      </c>
      <c r="C225" t="s">
        <v>9</v>
      </c>
      <c r="D225" t="s">
        <v>4</v>
      </c>
      <c r="E225" t="s">
        <v>5</v>
      </c>
      <c r="F225">
        <v>6</v>
      </c>
      <c r="G225" t="b">
        <v>0</v>
      </c>
      <c r="H225" s="3">
        <v>4818</v>
      </c>
      <c r="I225" s="3">
        <v>57816</v>
      </c>
      <c r="J225">
        <v>5</v>
      </c>
      <c r="K225">
        <v>2.6</v>
      </c>
      <c r="L225">
        <v>40</v>
      </c>
      <c r="M225" t="s">
        <v>6</v>
      </c>
      <c r="N225" t="str">
        <f>IF(tblCustomer[[#This Row],[Monthly Revenue]]&gt;=30000, "Tier 1 ", IF(tblCustomer[[#This Row],[Monthly Revenue]]&gt;= 15000,"Tier 2 ","Tier 3 "))</f>
        <v xml:space="preserve">Tier 3 </v>
      </c>
      <c r="O225" t="s">
        <v>1031</v>
      </c>
    </row>
    <row r="226" spans="1:15" x14ac:dyDescent="0.25">
      <c r="A226" t="s">
        <v>467</v>
      </c>
      <c r="B226" t="s">
        <v>468</v>
      </c>
      <c r="C226" t="s">
        <v>14</v>
      </c>
      <c r="D226" t="s">
        <v>18</v>
      </c>
      <c r="E226" t="s">
        <v>28</v>
      </c>
      <c r="F226">
        <v>1</v>
      </c>
      <c r="G226" t="b">
        <v>0</v>
      </c>
      <c r="H226" s="3">
        <v>14909</v>
      </c>
      <c r="I226" s="3">
        <v>178908</v>
      </c>
      <c r="J226">
        <v>4</v>
      </c>
      <c r="K226">
        <v>1.75</v>
      </c>
      <c r="L226">
        <v>15</v>
      </c>
      <c r="M226" t="s">
        <v>11</v>
      </c>
      <c r="N226" t="str">
        <f>IF(tblCustomer[[#This Row],[Monthly Revenue]]&gt;=30000, "Tier 1 ", IF(tblCustomer[[#This Row],[Monthly Revenue]]&gt;= 15000,"Tier 2 ","Tier 3 "))</f>
        <v xml:space="preserve">Tier 3 </v>
      </c>
      <c r="O226" t="s">
        <v>1029</v>
      </c>
    </row>
    <row r="227" spans="1:15" x14ac:dyDescent="0.25">
      <c r="A227" t="s">
        <v>469</v>
      </c>
      <c r="B227" t="s">
        <v>470</v>
      </c>
      <c r="C227" t="s">
        <v>3</v>
      </c>
      <c r="D227" t="s">
        <v>71</v>
      </c>
      <c r="E227" t="s">
        <v>28</v>
      </c>
      <c r="F227">
        <v>80</v>
      </c>
      <c r="G227" t="b">
        <v>0</v>
      </c>
      <c r="H227" s="3">
        <v>28320</v>
      </c>
      <c r="I227" s="3">
        <v>339840</v>
      </c>
      <c r="J227">
        <v>3</v>
      </c>
      <c r="K227">
        <v>2.67</v>
      </c>
      <c r="L227">
        <v>0</v>
      </c>
      <c r="M227" t="s">
        <v>11</v>
      </c>
      <c r="N227" t="str">
        <f>IF(tblCustomer[[#This Row],[Monthly Revenue]]&gt;=30000, "Tier 1 ", IF(tblCustomer[[#This Row],[Monthly Revenue]]&gt;= 15000,"Tier 2 ","Tier 3 "))</f>
        <v xml:space="preserve">Tier 2 </v>
      </c>
      <c r="O227" t="s">
        <v>1031</v>
      </c>
    </row>
    <row r="228" spans="1:15" x14ac:dyDescent="0.25">
      <c r="A228" t="s">
        <v>471</v>
      </c>
      <c r="B228" t="s">
        <v>472</v>
      </c>
      <c r="C228" t="s">
        <v>17</v>
      </c>
      <c r="D228" t="s">
        <v>4</v>
      </c>
      <c r="E228" t="s">
        <v>28</v>
      </c>
      <c r="F228">
        <v>69</v>
      </c>
      <c r="G228" t="b">
        <v>0</v>
      </c>
      <c r="H228" s="3">
        <v>61686</v>
      </c>
      <c r="I228" s="3">
        <v>740232</v>
      </c>
      <c r="J228">
        <v>5</v>
      </c>
      <c r="K228">
        <v>3.6</v>
      </c>
      <c r="L228">
        <v>40</v>
      </c>
      <c r="M228" t="s">
        <v>6</v>
      </c>
      <c r="N228" t="str">
        <f>IF(tblCustomer[[#This Row],[Monthly Revenue]]&gt;=30000, "Tier 1 ", IF(tblCustomer[[#This Row],[Monthly Revenue]]&gt;= 15000,"Tier 2 ","Tier 3 "))</f>
        <v xml:space="preserve">Tier 1 </v>
      </c>
      <c r="O228" t="s">
        <v>1031</v>
      </c>
    </row>
    <row r="229" spans="1:15" x14ac:dyDescent="0.25">
      <c r="A229" t="s">
        <v>473</v>
      </c>
      <c r="B229" t="s">
        <v>474</v>
      </c>
      <c r="C229" t="s">
        <v>27</v>
      </c>
      <c r="D229" t="s">
        <v>18</v>
      </c>
      <c r="E229" t="s">
        <v>22</v>
      </c>
      <c r="F229">
        <v>5</v>
      </c>
      <c r="G229" t="b">
        <v>0</v>
      </c>
      <c r="H229" s="3">
        <v>3112</v>
      </c>
      <c r="I229" s="3">
        <v>37344</v>
      </c>
      <c r="J229">
        <v>2</v>
      </c>
      <c r="K229">
        <v>4</v>
      </c>
      <c r="L229">
        <v>30</v>
      </c>
      <c r="M229" t="s">
        <v>11</v>
      </c>
      <c r="N229" t="str">
        <f>IF(tblCustomer[[#This Row],[Monthly Revenue]]&gt;=30000, "Tier 1 ", IF(tblCustomer[[#This Row],[Monthly Revenue]]&gt;= 15000,"Tier 2 ","Tier 3 "))</f>
        <v xml:space="preserve">Tier 3 </v>
      </c>
      <c r="O229" t="s">
        <v>1030</v>
      </c>
    </row>
    <row r="230" spans="1:15" x14ac:dyDescent="0.25">
      <c r="A230" t="s">
        <v>475</v>
      </c>
      <c r="B230" t="s">
        <v>476</v>
      </c>
      <c r="C230" t="s">
        <v>14</v>
      </c>
      <c r="D230" t="s">
        <v>33</v>
      </c>
      <c r="E230" t="s">
        <v>28</v>
      </c>
      <c r="F230">
        <v>53</v>
      </c>
      <c r="G230" t="b">
        <v>0</v>
      </c>
      <c r="H230" s="3">
        <v>15342</v>
      </c>
      <c r="I230" s="3">
        <v>184104</v>
      </c>
      <c r="J230">
        <v>6</v>
      </c>
      <c r="K230">
        <v>1.67</v>
      </c>
      <c r="L230">
        <v>25</v>
      </c>
      <c r="M230" t="s">
        <v>11</v>
      </c>
      <c r="N230" t="str">
        <f>IF(tblCustomer[[#This Row],[Monthly Revenue]]&gt;=30000, "Tier 1 ", IF(tblCustomer[[#This Row],[Monthly Revenue]]&gt;= 15000,"Tier 2 ","Tier 3 "))</f>
        <v xml:space="preserve">Tier 2 </v>
      </c>
      <c r="O230" t="s">
        <v>1030</v>
      </c>
    </row>
    <row r="231" spans="1:15" x14ac:dyDescent="0.25">
      <c r="A231" t="s">
        <v>477</v>
      </c>
      <c r="B231" t="s">
        <v>478</v>
      </c>
      <c r="C231" t="s">
        <v>3</v>
      </c>
      <c r="D231" t="s">
        <v>4</v>
      </c>
      <c r="E231" t="s">
        <v>28</v>
      </c>
      <c r="F231">
        <v>6</v>
      </c>
      <c r="G231" t="b">
        <v>1</v>
      </c>
      <c r="H231" s="3">
        <v>9432</v>
      </c>
      <c r="I231" s="3">
        <v>113184</v>
      </c>
      <c r="J231">
        <v>3</v>
      </c>
      <c r="K231">
        <v>1</v>
      </c>
      <c r="L231">
        <v>60</v>
      </c>
      <c r="M231" t="s">
        <v>19</v>
      </c>
      <c r="N231" t="str">
        <f>IF(tblCustomer[[#This Row],[Monthly Revenue]]&gt;=30000, "Tier 1 ", IF(tblCustomer[[#This Row],[Monthly Revenue]]&gt;= 15000,"Tier 2 ","Tier 3 "))</f>
        <v xml:space="preserve">Tier 3 </v>
      </c>
      <c r="O231" t="s">
        <v>1031</v>
      </c>
    </row>
    <row r="232" spans="1:15" x14ac:dyDescent="0.25">
      <c r="A232" t="s">
        <v>479</v>
      </c>
      <c r="B232" t="s">
        <v>480</v>
      </c>
      <c r="C232" t="s">
        <v>27</v>
      </c>
      <c r="D232" t="s">
        <v>90</v>
      </c>
      <c r="E232" t="s">
        <v>5</v>
      </c>
      <c r="F232">
        <v>7</v>
      </c>
      <c r="G232" t="b">
        <v>0</v>
      </c>
      <c r="H232" s="3">
        <v>28418</v>
      </c>
      <c r="I232" s="3">
        <v>341016</v>
      </c>
      <c r="J232">
        <v>5</v>
      </c>
      <c r="K232">
        <v>2.4</v>
      </c>
      <c r="L232">
        <v>55</v>
      </c>
      <c r="M232" t="s">
        <v>6</v>
      </c>
      <c r="N232" t="str">
        <f>IF(tblCustomer[[#This Row],[Monthly Revenue]]&gt;=30000, "Tier 1 ", IF(tblCustomer[[#This Row],[Monthly Revenue]]&gt;= 15000,"Tier 2 ","Tier 3 "))</f>
        <v xml:space="preserve">Tier 2 </v>
      </c>
      <c r="O232" t="s">
        <v>1028</v>
      </c>
    </row>
    <row r="233" spans="1:15" x14ac:dyDescent="0.25">
      <c r="A233" t="s">
        <v>481</v>
      </c>
      <c r="B233" t="s">
        <v>482</v>
      </c>
      <c r="C233" t="s">
        <v>14</v>
      </c>
      <c r="D233" t="s">
        <v>4</v>
      </c>
      <c r="E233" t="s">
        <v>22</v>
      </c>
      <c r="F233">
        <v>5</v>
      </c>
      <c r="G233" t="b">
        <v>0</v>
      </c>
      <c r="H233" s="3">
        <v>21327</v>
      </c>
      <c r="I233" s="3">
        <v>255924</v>
      </c>
      <c r="J233">
        <v>7</v>
      </c>
      <c r="K233">
        <v>0.86</v>
      </c>
      <c r="L233">
        <v>40</v>
      </c>
      <c r="M233" t="s">
        <v>6</v>
      </c>
      <c r="N233" t="str">
        <f>IF(tblCustomer[[#This Row],[Monthly Revenue]]&gt;=30000, "Tier 1 ", IF(tblCustomer[[#This Row],[Monthly Revenue]]&gt;= 15000,"Tier 2 ","Tier 3 "))</f>
        <v xml:space="preserve">Tier 2 </v>
      </c>
      <c r="O233" t="s">
        <v>1028</v>
      </c>
    </row>
    <row r="234" spans="1:15" x14ac:dyDescent="0.25">
      <c r="A234" t="s">
        <v>483</v>
      </c>
      <c r="B234" t="s">
        <v>484</v>
      </c>
      <c r="C234" t="s">
        <v>17</v>
      </c>
      <c r="D234" t="s">
        <v>10</v>
      </c>
      <c r="E234" t="s">
        <v>5</v>
      </c>
      <c r="F234">
        <v>6</v>
      </c>
      <c r="G234" t="b">
        <v>1</v>
      </c>
      <c r="H234" s="3">
        <v>30055</v>
      </c>
      <c r="I234" s="3">
        <v>360660</v>
      </c>
      <c r="J234">
        <v>3</v>
      </c>
      <c r="K234">
        <v>1.33</v>
      </c>
      <c r="L234">
        <v>30</v>
      </c>
      <c r="M234" t="s">
        <v>11</v>
      </c>
      <c r="N234" t="str">
        <f>IF(tblCustomer[[#This Row],[Monthly Revenue]]&gt;=30000, "Tier 1 ", IF(tblCustomer[[#This Row],[Monthly Revenue]]&gt;= 15000,"Tier 2 ","Tier 3 "))</f>
        <v xml:space="preserve">Tier 1 </v>
      </c>
      <c r="O234" t="s">
        <v>1028</v>
      </c>
    </row>
    <row r="235" spans="1:15" x14ac:dyDescent="0.25">
      <c r="A235" t="s">
        <v>485</v>
      </c>
      <c r="B235" t="s">
        <v>486</v>
      </c>
      <c r="C235" t="s">
        <v>27</v>
      </c>
      <c r="D235" t="s">
        <v>4</v>
      </c>
      <c r="E235" t="s">
        <v>22</v>
      </c>
      <c r="F235">
        <v>13</v>
      </c>
      <c r="G235" t="b">
        <v>1</v>
      </c>
      <c r="H235" s="3">
        <v>16358</v>
      </c>
      <c r="I235" s="3">
        <v>196296</v>
      </c>
      <c r="J235">
        <v>2</v>
      </c>
      <c r="K235">
        <v>3.5</v>
      </c>
      <c r="L235">
        <v>30</v>
      </c>
      <c r="M235" t="s">
        <v>11</v>
      </c>
      <c r="N235" t="str">
        <f>IF(tblCustomer[[#This Row],[Monthly Revenue]]&gt;=30000, "Tier 1 ", IF(tblCustomer[[#This Row],[Monthly Revenue]]&gt;= 15000,"Tier 2 ","Tier 3 "))</f>
        <v xml:space="preserve">Tier 2 </v>
      </c>
      <c r="O235" t="s">
        <v>1032</v>
      </c>
    </row>
    <row r="236" spans="1:15" x14ac:dyDescent="0.25">
      <c r="A236" t="s">
        <v>487</v>
      </c>
      <c r="B236" t="s">
        <v>488</v>
      </c>
      <c r="C236" t="s">
        <v>9</v>
      </c>
      <c r="D236" t="s">
        <v>18</v>
      </c>
      <c r="E236" t="s">
        <v>28</v>
      </c>
      <c r="F236">
        <v>8</v>
      </c>
      <c r="G236" t="b">
        <v>1</v>
      </c>
      <c r="H236" s="3">
        <v>21734</v>
      </c>
      <c r="I236" s="3">
        <v>260808</v>
      </c>
      <c r="J236">
        <v>2</v>
      </c>
      <c r="K236">
        <v>2.5</v>
      </c>
      <c r="L236">
        <v>0</v>
      </c>
      <c r="M236" t="s">
        <v>11</v>
      </c>
      <c r="N236" t="str">
        <f>IF(tblCustomer[[#This Row],[Monthly Revenue]]&gt;=30000, "Tier 1 ", IF(tblCustomer[[#This Row],[Monthly Revenue]]&gt;= 15000,"Tier 2 ","Tier 3 "))</f>
        <v xml:space="preserve">Tier 2 </v>
      </c>
      <c r="O236" t="s">
        <v>1029</v>
      </c>
    </row>
    <row r="237" spans="1:15" x14ac:dyDescent="0.25">
      <c r="A237" t="s">
        <v>489</v>
      </c>
      <c r="B237" t="s">
        <v>490</v>
      </c>
      <c r="C237" t="s">
        <v>3</v>
      </c>
      <c r="D237" t="s">
        <v>4</v>
      </c>
      <c r="E237" t="s">
        <v>5</v>
      </c>
      <c r="F237">
        <v>92</v>
      </c>
      <c r="G237" t="b">
        <v>0</v>
      </c>
      <c r="H237" s="3">
        <v>64400</v>
      </c>
      <c r="I237" s="3">
        <v>772800</v>
      </c>
      <c r="J237">
        <v>5</v>
      </c>
      <c r="K237">
        <v>3</v>
      </c>
      <c r="L237">
        <v>10</v>
      </c>
      <c r="M237" t="s">
        <v>11</v>
      </c>
      <c r="N237" t="str">
        <f>IF(tblCustomer[[#This Row],[Monthly Revenue]]&gt;=30000, "Tier 1 ", IF(tblCustomer[[#This Row],[Monthly Revenue]]&gt;= 15000,"Tier 2 ","Tier 3 "))</f>
        <v xml:space="preserve">Tier 1 </v>
      </c>
      <c r="O237" t="s">
        <v>1031</v>
      </c>
    </row>
    <row r="238" spans="1:15" x14ac:dyDescent="0.25">
      <c r="A238" t="s">
        <v>491</v>
      </c>
      <c r="B238" t="s">
        <v>492</v>
      </c>
      <c r="C238" t="s">
        <v>27</v>
      </c>
      <c r="D238" t="s">
        <v>10</v>
      </c>
      <c r="E238" t="s">
        <v>5</v>
      </c>
      <c r="F238">
        <v>5</v>
      </c>
      <c r="G238" t="b">
        <v>0</v>
      </c>
      <c r="H238" s="3">
        <v>17524</v>
      </c>
      <c r="I238" s="3">
        <v>210288</v>
      </c>
      <c r="J238">
        <v>3</v>
      </c>
      <c r="K238">
        <v>2.67</v>
      </c>
      <c r="L238">
        <v>30</v>
      </c>
      <c r="M238" t="s">
        <v>11</v>
      </c>
      <c r="N238" t="str">
        <f>IF(tblCustomer[[#This Row],[Monthly Revenue]]&gt;=30000, "Tier 1 ", IF(tblCustomer[[#This Row],[Monthly Revenue]]&gt;= 15000,"Tier 2 ","Tier 3 "))</f>
        <v xml:space="preserve">Tier 2 </v>
      </c>
      <c r="O238" t="s">
        <v>1031</v>
      </c>
    </row>
    <row r="239" spans="1:15" x14ac:dyDescent="0.25">
      <c r="A239" t="s">
        <v>493</v>
      </c>
      <c r="B239" t="s">
        <v>494</v>
      </c>
      <c r="C239" t="s">
        <v>17</v>
      </c>
      <c r="D239" t="s">
        <v>71</v>
      </c>
      <c r="E239" t="s">
        <v>22</v>
      </c>
      <c r="F239">
        <v>18</v>
      </c>
      <c r="G239" t="b">
        <v>0</v>
      </c>
      <c r="H239" s="3">
        <v>15979</v>
      </c>
      <c r="I239" s="3">
        <v>191748</v>
      </c>
      <c r="J239">
        <v>5</v>
      </c>
      <c r="K239">
        <v>2.2000000000000002</v>
      </c>
      <c r="L239">
        <v>25</v>
      </c>
      <c r="M239" t="s">
        <v>11</v>
      </c>
      <c r="N239" t="str">
        <f>IF(tblCustomer[[#This Row],[Monthly Revenue]]&gt;=30000, "Tier 1 ", IF(tblCustomer[[#This Row],[Monthly Revenue]]&gt;= 15000,"Tier 2 ","Tier 3 "))</f>
        <v xml:space="preserve">Tier 2 </v>
      </c>
      <c r="O239" t="s">
        <v>1028</v>
      </c>
    </row>
    <row r="240" spans="1:15" x14ac:dyDescent="0.25">
      <c r="A240" t="s">
        <v>495</v>
      </c>
      <c r="B240" t="s">
        <v>496</v>
      </c>
      <c r="C240" t="s">
        <v>27</v>
      </c>
      <c r="D240" t="s">
        <v>33</v>
      </c>
      <c r="E240" t="s">
        <v>28</v>
      </c>
      <c r="F240">
        <v>8</v>
      </c>
      <c r="G240" t="b">
        <v>0</v>
      </c>
      <c r="H240" s="3">
        <v>24494</v>
      </c>
      <c r="I240" s="3">
        <v>293928</v>
      </c>
      <c r="J240">
        <v>4</v>
      </c>
      <c r="K240">
        <v>1.5</v>
      </c>
      <c r="L240">
        <v>15</v>
      </c>
      <c r="M240" t="s">
        <v>11</v>
      </c>
      <c r="N240" t="str">
        <f>IF(tblCustomer[[#This Row],[Monthly Revenue]]&gt;=30000, "Tier 1 ", IF(tblCustomer[[#This Row],[Monthly Revenue]]&gt;= 15000,"Tier 2 ","Tier 3 "))</f>
        <v xml:space="preserve">Tier 2 </v>
      </c>
      <c r="O240" t="s">
        <v>1027</v>
      </c>
    </row>
    <row r="241" spans="1:15" x14ac:dyDescent="0.25">
      <c r="A241" t="s">
        <v>497</v>
      </c>
      <c r="B241" t="s">
        <v>498</v>
      </c>
      <c r="C241" t="s">
        <v>27</v>
      </c>
      <c r="D241" t="s">
        <v>33</v>
      </c>
      <c r="E241" t="s">
        <v>5</v>
      </c>
      <c r="F241">
        <v>67</v>
      </c>
      <c r="G241" t="b">
        <v>0</v>
      </c>
      <c r="H241" s="3">
        <v>23718</v>
      </c>
      <c r="I241" s="3">
        <v>284616</v>
      </c>
      <c r="J241">
        <v>2</v>
      </c>
      <c r="K241">
        <v>4.5</v>
      </c>
      <c r="L241">
        <v>30</v>
      </c>
      <c r="M241" t="s">
        <v>11</v>
      </c>
      <c r="N241" t="str">
        <f>IF(tblCustomer[[#This Row],[Monthly Revenue]]&gt;=30000, "Tier 1 ", IF(tblCustomer[[#This Row],[Monthly Revenue]]&gt;= 15000,"Tier 2 ","Tier 3 "))</f>
        <v xml:space="preserve">Tier 2 </v>
      </c>
      <c r="O241" t="s">
        <v>1029</v>
      </c>
    </row>
    <row r="242" spans="1:15" x14ac:dyDescent="0.25">
      <c r="A242" t="s">
        <v>499</v>
      </c>
      <c r="B242" t="s">
        <v>500</v>
      </c>
      <c r="C242" t="s">
        <v>9</v>
      </c>
      <c r="D242" t="s">
        <v>71</v>
      </c>
      <c r="E242" t="s">
        <v>22</v>
      </c>
      <c r="F242">
        <v>55</v>
      </c>
      <c r="G242" t="b">
        <v>1</v>
      </c>
      <c r="H242" s="3">
        <v>34155</v>
      </c>
      <c r="I242" s="3">
        <v>409860</v>
      </c>
      <c r="J242">
        <v>1</v>
      </c>
      <c r="K242">
        <v>3</v>
      </c>
      <c r="L242">
        <v>30</v>
      </c>
      <c r="M242" t="s">
        <v>11</v>
      </c>
      <c r="N242" t="str">
        <f>IF(tblCustomer[[#This Row],[Monthly Revenue]]&gt;=30000, "Tier 1 ", IF(tblCustomer[[#This Row],[Monthly Revenue]]&gt;= 15000,"Tier 2 ","Tier 3 "))</f>
        <v xml:space="preserve">Tier 1 </v>
      </c>
      <c r="O242" t="s">
        <v>1031</v>
      </c>
    </row>
    <row r="243" spans="1:15" x14ac:dyDescent="0.25">
      <c r="A243" t="s">
        <v>501</v>
      </c>
      <c r="B243" t="s">
        <v>502</v>
      </c>
      <c r="C243" t="s">
        <v>3</v>
      </c>
      <c r="D243" t="s">
        <v>10</v>
      </c>
      <c r="E243" t="s">
        <v>28</v>
      </c>
      <c r="F243">
        <v>27</v>
      </c>
      <c r="G243" t="b">
        <v>0</v>
      </c>
      <c r="H243" s="3">
        <v>24138</v>
      </c>
      <c r="I243" s="3">
        <v>289656</v>
      </c>
      <c r="J243">
        <v>3</v>
      </c>
      <c r="K243">
        <v>4</v>
      </c>
      <c r="L243">
        <v>30</v>
      </c>
      <c r="M243" t="s">
        <v>11</v>
      </c>
      <c r="N243" t="str">
        <f>IF(tblCustomer[[#This Row],[Monthly Revenue]]&gt;=30000, "Tier 1 ", IF(tblCustomer[[#This Row],[Monthly Revenue]]&gt;= 15000,"Tier 2 ","Tier 3 "))</f>
        <v xml:space="preserve">Tier 2 </v>
      </c>
      <c r="O243" t="s">
        <v>1029</v>
      </c>
    </row>
    <row r="244" spans="1:15" x14ac:dyDescent="0.25">
      <c r="A244" t="s">
        <v>503</v>
      </c>
      <c r="B244" t="s">
        <v>504</v>
      </c>
      <c r="C244" t="s">
        <v>3</v>
      </c>
      <c r="D244" t="s">
        <v>4</v>
      </c>
      <c r="E244" t="s">
        <v>22</v>
      </c>
      <c r="F244">
        <v>3</v>
      </c>
      <c r="G244" t="b">
        <v>0</v>
      </c>
      <c r="H244" s="3">
        <v>3594</v>
      </c>
      <c r="I244" s="3">
        <v>43128</v>
      </c>
      <c r="J244">
        <v>4</v>
      </c>
      <c r="K244">
        <v>2.25</v>
      </c>
      <c r="L244">
        <v>45</v>
      </c>
      <c r="M244" t="s">
        <v>6</v>
      </c>
      <c r="N244" t="str">
        <f>IF(tblCustomer[[#This Row],[Monthly Revenue]]&gt;=30000, "Tier 1 ", IF(tblCustomer[[#This Row],[Monthly Revenue]]&gt;= 15000,"Tier 2 ","Tier 3 "))</f>
        <v xml:space="preserve">Tier 3 </v>
      </c>
      <c r="O244" t="s">
        <v>1028</v>
      </c>
    </row>
    <row r="245" spans="1:15" x14ac:dyDescent="0.25">
      <c r="A245" t="s">
        <v>505</v>
      </c>
      <c r="B245" t="s">
        <v>506</v>
      </c>
      <c r="C245" t="s">
        <v>27</v>
      </c>
      <c r="D245" t="s">
        <v>4</v>
      </c>
      <c r="E245" t="s">
        <v>28</v>
      </c>
      <c r="F245">
        <v>3</v>
      </c>
      <c r="G245" t="b">
        <v>0</v>
      </c>
      <c r="H245" s="3">
        <v>14118</v>
      </c>
      <c r="I245" s="3">
        <v>169416</v>
      </c>
      <c r="J245">
        <v>3</v>
      </c>
      <c r="K245">
        <v>1</v>
      </c>
      <c r="L245">
        <v>60</v>
      </c>
      <c r="M245" t="s">
        <v>19</v>
      </c>
      <c r="N245" t="str">
        <f>IF(tblCustomer[[#This Row],[Monthly Revenue]]&gt;=30000, "Tier 1 ", IF(tblCustomer[[#This Row],[Monthly Revenue]]&gt;= 15000,"Tier 2 ","Tier 3 "))</f>
        <v xml:space="preserve">Tier 3 </v>
      </c>
      <c r="O245" t="s">
        <v>1032</v>
      </c>
    </row>
    <row r="246" spans="1:15" x14ac:dyDescent="0.25">
      <c r="A246" t="s">
        <v>507</v>
      </c>
      <c r="B246" t="s">
        <v>508</v>
      </c>
      <c r="C246" t="s">
        <v>17</v>
      </c>
      <c r="D246" t="s">
        <v>71</v>
      </c>
      <c r="E246" t="s">
        <v>28</v>
      </c>
      <c r="F246">
        <v>21</v>
      </c>
      <c r="G246" t="b">
        <v>0</v>
      </c>
      <c r="H246" s="3">
        <v>4335</v>
      </c>
      <c r="I246" s="3">
        <v>52020</v>
      </c>
      <c r="J246">
        <v>2</v>
      </c>
      <c r="K246">
        <v>3.5</v>
      </c>
      <c r="L246">
        <v>30</v>
      </c>
      <c r="M246" t="s">
        <v>11</v>
      </c>
      <c r="N246" t="str">
        <f>IF(tblCustomer[[#This Row],[Monthly Revenue]]&gt;=30000, "Tier 1 ", IF(tblCustomer[[#This Row],[Monthly Revenue]]&gt;= 15000,"Tier 2 ","Tier 3 "))</f>
        <v xml:space="preserve">Tier 3 </v>
      </c>
      <c r="O246" t="s">
        <v>1031</v>
      </c>
    </row>
    <row r="247" spans="1:15" x14ac:dyDescent="0.25">
      <c r="A247" t="s">
        <v>509</v>
      </c>
      <c r="B247" t="s">
        <v>510</v>
      </c>
      <c r="C247" t="s">
        <v>9</v>
      </c>
      <c r="D247" t="s">
        <v>18</v>
      </c>
      <c r="E247" t="s">
        <v>22</v>
      </c>
      <c r="F247">
        <v>41</v>
      </c>
      <c r="G247" t="b">
        <v>0</v>
      </c>
      <c r="H247" s="3">
        <v>31709</v>
      </c>
      <c r="I247" s="3">
        <v>380508</v>
      </c>
      <c r="J247">
        <v>7</v>
      </c>
      <c r="K247">
        <v>2</v>
      </c>
      <c r="L247">
        <v>55</v>
      </c>
      <c r="M247" t="s">
        <v>6</v>
      </c>
      <c r="N247" t="str">
        <f>IF(tblCustomer[[#This Row],[Monthly Revenue]]&gt;=30000, "Tier 1 ", IF(tblCustomer[[#This Row],[Monthly Revenue]]&gt;= 15000,"Tier 2 ","Tier 3 "))</f>
        <v xml:space="preserve">Tier 1 </v>
      </c>
      <c r="O247" t="s">
        <v>1029</v>
      </c>
    </row>
    <row r="248" spans="1:15" x14ac:dyDescent="0.25">
      <c r="A248" t="s">
        <v>511</v>
      </c>
      <c r="B248" t="s">
        <v>512</v>
      </c>
      <c r="C248" t="s">
        <v>14</v>
      </c>
      <c r="D248" t="s">
        <v>4</v>
      </c>
      <c r="E248" t="s">
        <v>5</v>
      </c>
      <c r="F248">
        <v>11</v>
      </c>
      <c r="G248" t="b">
        <v>0</v>
      </c>
      <c r="H248" s="3">
        <v>6776</v>
      </c>
      <c r="I248" s="3">
        <v>81312</v>
      </c>
      <c r="J248">
        <v>2</v>
      </c>
      <c r="K248">
        <v>0</v>
      </c>
      <c r="L248">
        <v>60</v>
      </c>
      <c r="M248" t="s">
        <v>19</v>
      </c>
      <c r="N248" t="str">
        <f>IF(tblCustomer[[#This Row],[Monthly Revenue]]&gt;=30000, "Tier 1 ", IF(tblCustomer[[#This Row],[Monthly Revenue]]&gt;= 15000,"Tier 2 ","Tier 3 "))</f>
        <v xml:space="preserve">Tier 3 </v>
      </c>
      <c r="O248" t="s">
        <v>1027</v>
      </c>
    </row>
    <row r="249" spans="1:15" x14ac:dyDescent="0.25">
      <c r="A249" t="s">
        <v>513</v>
      </c>
      <c r="B249" t="s">
        <v>514</v>
      </c>
      <c r="C249" t="s">
        <v>14</v>
      </c>
      <c r="D249" t="s">
        <v>4</v>
      </c>
      <c r="E249" t="s">
        <v>22</v>
      </c>
      <c r="F249">
        <v>7</v>
      </c>
      <c r="G249" t="b">
        <v>0</v>
      </c>
      <c r="H249" s="3">
        <v>11087</v>
      </c>
      <c r="I249" s="3">
        <v>133044</v>
      </c>
      <c r="J249">
        <v>3</v>
      </c>
      <c r="K249">
        <v>3.33</v>
      </c>
      <c r="L249">
        <v>30</v>
      </c>
      <c r="M249" t="s">
        <v>11</v>
      </c>
      <c r="N249" t="str">
        <f>IF(tblCustomer[[#This Row],[Monthly Revenue]]&gt;=30000, "Tier 1 ", IF(tblCustomer[[#This Row],[Monthly Revenue]]&gt;= 15000,"Tier 2 ","Tier 3 "))</f>
        <v xml:space="preserve">Tier 3 </v>
      </c>
      <c r="O249" t="s">
        <v>1030</v>
      </c>
    </row>
    <row r="250" spans="1:15" x14ac:dyDescent="0.25">
      <c r="A250" t="s">
        <v>515</v>
      </c>
      <c r="B250" t="s">
        <v>516</v>
      </c>
      <c r="C250" t="s">
        <v>14</v>
      </c>
      <c r="D250" t="s">
        <v>4</v>
      </c>
      <c r="E250" t="s">
        <v>28</v>
      </c>
      <c r="F250">
        <v>5</v>
      </c>
      <c r="G250" t="b">
        <v>0</v>
      </c>
      <c r="H250" s="3">
        <v>13728</v>
      </c>
      <c r="I250" s="3">
        <v>164736</v>
      </c>
      <c r="J250">
        <v>5</v>
      </c>
      <c r="K250">
        <v>2.4</v>
      </c>
      <c r="L250">
        <v>55</v>
      </c>
      <c r="M250" t="s">
        <v>6</v>
      </c>
      <c r="N250" t="str">
        <f>IF(tblCustomer[[#This Row],[Monthly Revenue]]&gt;=30000, "Tier 1 ", IF(tblCustomer[[#This Row],[Monthly Revenue]]&gt;= 15000,"Tier 2 ","Tier 3 "))</f>
        <v xml:space="preserve">Tier 3 </v>
      </c>
      <c r="O250" t="s">
        <v>1029</v>
      </c>
    </row>
    <row r="251" spans="1:15" x14ac:dyDescent="0.25">
      <c r="A251" t="s">
        <v>517</v>
      </c>
      <c r="B251" t="s">
        <v>518</v>
      </c>
      <c r="C251" t="s">
        <v>9</v>
      </c>
      <c r="D251" t="s">
        <v>71</v>
      </c>
      <c r="E251" t="s">
        <v>28</v>
      </c>
      <c r="F251">
        <v>15</v>
      </c>
      <c r="G251" t="b">
        <v>0</v>
      </c>
      <c r="H251" s="3">
        <v>26514</v>
      </c>
      <c r="I251" s="3">
        <v>318168</v>
      </c>
      <c r="J251">
        <v>4</v>
      </c>
      <c r="K251">
        <v>3.25</v>
      </c>
      <c r="L251">
        <v>30</v>
      </c>
      <c r="M251" t="s">
        <v>11</v>
      </c>
      <c r="N251" t="str">
        <f>IF(tblCustomer[[#This Row],[Monthly Revenue]]&gt;=30000, "Tier 1 ", IF(tblCustomer[[#This Row],[Monthly Revenue]]&gt;= 15000,"Tier 2 ","Tier 3 "))</f>
        <v xml:space="preserve">Tier 2 </v>
      </c>
      <c r="O251" t="s">
        <v>1028</v>
      </c>
    </row>
    <row r="252" spans="1:15" x14ac:dyDescent="0.25">
      <c r="A252" t="s">
        <v>519</v>
      </c>
      <c r="B252" t="s">
        <v>520</v>
      </c>
      <c r="C252" t="s">
        <v>14</v>
      </c>
      <c r="D252" t="s">
        <v>54</v>
      </c>
      <c r="E252" t="s">
        <v>5</v>
      </c>
      <c r="F252">
        <v>2</v>
      </c>
      <c r="G252" t="b">
        <v>0</v>
      </c>
      <c r="H252" s="3">
        <v>3551</v>
      </c>
      <c r="I252" s="3">
        <v>42612</v>
      </c>
      <c r="J252">
        <v>5</v>
      </c>
      <c r="K252">
        <v>2.6</v>
      </c>
      <c r="L252">
        <v>10</v>
      </c>
      <c r="M252" t="s">
        <v>11</v>
      </c>
      <c r="N252" t="str">
        <f>IF(tblCustomer[[#This Row],[Monthly Revenue]]&gt;=30000, "Tier 1 ", IF(tblCustomer[[#This Row],[Monthly Revenue]]&gt;= 15000,"Tier 2 ","Tier 3 "))</f>
        <v xml:space="preserve">Tier 3 </v>
      </c>
      <c r="O252" t="s">
        <v>1029</v>
      </c>
    </row>
    <row r="253" spans="1:15" x14ac:dyDescent="0.25">
      <c r="A253" t="s">
        <v>521</v>
      </c>
      <c r="B253" t="s">
        <v>522</v>
      </c>
      <c r="C253" t="s">
        <v>27</v>
      </c>
      <c r="D253" t="s">
        <v>4</v>
      </c>
      <c r="E253" t="s">
        <v>5</v>
      </c>
      <c r="F253">
        <v>8</v>
      </c>
      <c r="G253" t="b">
        <v>0</v>
      </c>
      <c r="H253" s="3">
        <v>5606</v>
      </c>
      <c r="I253" s="3">
        <v>67272</v>
      </c>
      <c r="J253">
        <v>4</v>
      </c>
      <c r="K253">
        <v>2.75</v>
      </c>
      <c r="L253">
        <v>30</v>
      </c>
      <c r="M253" t="s">
        <v>11</v>
      </c>
      <c r="N253" t="str">
        <f>IF(tblCustomer[[#This Row],[Monthly Revenue]]&gt;=30000, "Tier 1 ", IF(tblCustomer[[#This Row],[Monthly Revenue]]&gt;= 15000,"Tier 2 ","Tier 3 "))</f>
        <v xml:space="preserve">Tier 3 </v>
      </c>
      <c r="O253" t="s">
        <v>1032</v>
      </c>
    </row>
    <row r="254" spans="1:15" x14ac:dyDescent="0.25">
      <c r="A254" t="s">
        <v>523</v>
      </c>
      <c r="B254" t="s">
        <v>524</v>
      </c>
      <c r="C254" t="s">
        <v>3</v>
      </c>
      <c r="D254" t="s">
        <v>90</v>
      </c>
      <c r="E254" t="s">
        <v>22</v>
      </c>
      <c r="F254">
        <v>19</v>
      </c>
      <c r="G254" t="b">
        <v>0</v>
      </c>
      <c r="H254" s="3">
        <v>42404</v>
      </c>
      <c r="I254" s="3">
        <v>508848</v>
      </c>
      <c r="J254">
        <v>6</v>
      </c>
      <c r="K254">
        <v>1.33</v>
      </c>
      <c r="L254">
        <v>70</v>
      </c>
      <c r="M254" t="s">
        <v>19</v>
      </c>
      <c r="N254" t="str">
        <f>IF(tblCustomer[[#This Row],[Monthly Revenue]]&gt;=30000, "Tier 1 ", IF(tblCustomer[[#This Row],[Monthly Revenue]]&gt;= 15000,"Tier 2 ","Tier 3 "))</f>
        <v xml:space="preserve">Tier 1 </v>
      </c>
      <c r="O254" t="s">
        <v>1028</v>
      </c>
    </row>
    <row r="255" spans="1:15" x14ac:dyDescent="0.25">
      <c r="A255" t="s">
        <v>525</v>
      </c>
      <c r="B255" t="s">
        <v>526</v>
      </c>
      <c r="C255" t="s">
        <v>27</v>
      </c>
      <c r="D255" t="s">
        <v>4</v>
      </c>
      <c r="E255" t="s">
        <v>5</v>
      </c>
      <c r="F255">
        <v>31</v>
      </c>
      <c r="G255" t="b">
        <v>0</v>
      </c>
      <c r="H255" s="3">
        <v>39614</v>
      </c>
      <c r="I255" s="3">
        <v>475368</v>
      </c>
      <c r="J255">
        <v>5</v>
      </c>
      <c r="K255">
        <v>2.4</v>
      </c>
      <c r="L255">
        <v>55</v>
      </c>
      <c r="M255" t="s">
        <v>6</v>
      </c>
      <c r="N255" t="str">
        <f>IF(tblCustomer[[#This Row],[Monthly Revenue]]&gt;=30000, "Tier 1 ", IF(tblCustomer[[#This Row],[Monthly Revenue]]&gt;= 15000,"Tier 2 ","Tier 3 "))</f>
        <v xml:space="preserve">Tier 1 </v>
      </c>
      <c r="O255" t="s">
        <v>1030</v>
      </c>
    </row>
    <row r="256" spans="1:15" x14ac:dyDescent="0.25">
      <c r="A256" t="s">
        <v>527</v>
      </c>
      <c r="B256" t="s">
        <v>528</v>
      </c>
      <c r="C256" t="s">
        <v>14</v>
      </c>
      <c r="D256" t="s">
        <v>4</v>
      </c>
      <c r="E256" t="s">
        <v>22</v>
      </c>
      <c r="F256">
        <v>5</v>
      </c>
      <c r="G256" t="b">
        <v>1</v>
      </c>
      <c r="H256" s="3">
        <v>3409</v>
      </c>
      <c r="I256" s="3">
        <v>40908</v>
      </c>
      <c r="J256">
        <v>3</v>
      </c>
      <c r="K256">
        <v>1.33</v>
      </c>
      <c r="L256">
        <v>30</v>
      </c>
      <c r="M256" t="s">
        <v>11</v>
      </c>
      <c r="N256" t="str">
        <f>IF(tblCustomer[[#This Row],[Monthly Revenue]]&gt;=30000, "Tier 1 ", IF(tblCustomer[[#This Row],[Monthly Revenue]]&gt;= 15000,"Tier 2 ","Tier 3 "))</f>
        <v xml:space="preserve">Tier 3 </v>
      </c>
      <c r="O256" t="s">
        <v>1030</v>
      </c>
    </row>
    <row r="257" spans="1:15" x14ac:dyDescent="0.25">
      <c r="A257" t="s">
        <v>529</v>
      </c>
      <c r="B257" t="s">
        <v>530</v>
      </c>
      <c r="C257" t="s">
        <v>17</v>
      </c>
      <c r="D257" t="s">
        <v>90</v>
      </c>
      <c r="E257" t="s">
        <v>28</v>
      </c>
      <c r="F257">
        <v>16</v>
      </c>
      <c r="G257" t="b">
        <v>0</v>
      </c>
      <c r="H257" s="3">
        <v>44564</v>
      </c>
      <c r="I257" s="3">
        <v>534768</v>
      </c>
      <c r="J257">
        <v>4</v>
      </c>
      <c r="K257">
        <v>2</v>
      </c>
      <c r="L257">
        <v>45</v>
      </c>
      <c r="M257" t="s">
        <v>6</v>
      </c>
      <c r="N257" t="str">
        <f>IF(tblCustomer[[#This Row],[Monthly Revenue]]&gt;=30000, "Tier 1 ", IF(tblCustomer[[#This Row],[Monthly Revenue]]&gt;= 15000,"Tier 2 ","Tier 3 "))</f>
        <v xml:space="preserve">Tier 1 </v>
      </c>
      <c r="O257" t="s">
        <v>1031</v>
      </c>
    </row>
    <row r="258" spans="1:15" x14ac:dyDescent="0.25">
      <c r="A258" t="s">
        <v>531</v>
      </c>
      <c r="B258" t="s">
        <v>532</v>
      </c>
      <c r="C258" t="s">
        <v>9</v>
      </c>
      <c r="D258" t="s">
        <v>10</v>
      </c>
      <c r="E258" t="s">
        <v>5</v>
      </c>
      <c r="F258">
        <v>8</v>
      </c>
      <c r="G258" t="b">
        <v>1</v>
      </c>
      <c r="H258" s="3">
        <v>16650</v>
      </c>
      <c r="I258" s="3">
        <v>199800</v>
      </c>
      <c r="J258">
        <v>10</v>
      </c>
      <c r="K258">
        <v>2.6</v>
      </c>
      <c r="L258">
        <v>50</v>
      </c>
      <c r="M258" t="s">
        <v>6</v>
      </c>
      <c r="N258" t="str">
        <f>IF(tblCustomer[[#This Row],[Monthly Revenue]]&gt;=30000, "Tier 1 ", IF(tblCustomer[[#This Row],[Monthly Revenue]]&gt;= 15000,"Tier 2 ","Tier 3 "))</f>
        <v xml:space="preserve">Tier 2 </v>
      </c>
      <c r="O258" t="s">
        <v>1030</v>
      </c>
    </row>
    <row r="259" spans="1:15" x14ac:dyDescent="0.25">
      <c r="A259" t="s">
        <v>533</v>
      </c>
      <c r="B259" t="s">
        <v>534</v>
      </c>
      <c r="C259" t="s">
        <v>9</v>
      </c>
      <c r="D259" t="s">
        <v>4</v>
      </c>
      <c r="E259" t="s">
        <v>28</v>
      </c>
      <c r="F259">
        <v>37</v>
      </c>
      <c r="G259" t="b">
        <v>0</v>
      </c>
      <c r="H259" s="3">
        <v>38975</v>
      </c>
      <c r="I259" s="3">
        <v>467700</v>
      </c>
      <c r="J259">
        <v>4</v>
      </c>
      <c r="K259">
        <v>1.75</v>
      </c>
      <c r="L259">
        <v>15</v>
      </c>
      <c r="M259" t="s">
        <v>11</v>
      </c>
      <c r="N259" t="str">
        <f>IF(tblCustomer[[#This Row],[Monthly Revenue]]&gt;=30000, "Tier 1 ", IF(tblCustomer[[#This Row],[Monthly Revenue]]&gt;= 15000,"Tier 2 ","Tier 3 "))</f>
        <v xml:space="preserve">Tier 1 </v>
      </c>
      <c r="O259" t="s">
        <v>1031</v>
      </c>
    </row>
    <row r="260" spans="1:15" x14ac:dyDescent="0.25">
      <c r="A260" t="s">
        <v>535</v>
      </c>
      <c r="B260" t="s">
        <v>536</v>
      </c>
      <c r="C260" t="s">
        <v>17</v>
      </c>
      <c r="D260" t="s">
        <v>4</v>
      </c>
      <c r="E260" t="s">
        <v>5</v>
      </c>
      <c r="F260">
        <v>31</v>
      </c>
      <c r="G260" t="b">
        <v>0</v>
      </c>
      <c r="H260" s="3">
        <v>48456</v>
      </c>
      <c r="I260" s="3">
        <v>581472</v>
      </c>
      <c r="J260">
        <v>4</v>
      </c>
      <c r="K260">
        <v>1.75</v>
      </c>
      <c r="L260">
        <v>45</v>
      </c>
      <c r="M260" t="s">
        <v>6</v>
      </c>
      <c r="N260" t="str">
        <f>IF(tblCustomer[[#This Row],[Monthly Revenue]]&gt;=30000, "Tier 1 ", IF(tblCustomer[[#This Row],[Monthly Revenue]]&gt;= 15000,"Tier 2 ","Tier 3 "))</f>
        <v xml:space="preserve">Tier 1 </v>
      </c>
      <c r="O260" t="s">
        <v>1028</v>
      </c>
    </row>
    <row r="261" spans="1:15" x14ac:dyDescent="0.25">
      <c r="A261" t="s">
        <v>537</v>
      </c>
      <c r="B261" t="s">
        <v>538</v>
      </c>
      <c r="C261" t="s">
        <v>27</v>
      </c>
      <c r="D261" t="s">
        <v>10</v>
      </c>
      <c r="E261" t="s">
        <v>22</v>
      </c>
      <c r="F261">
        <v>25</v>
      </c>
      <c r="G261" t="b">
        <v>0</v>
      </c>
      <c r="H261" s="3">
        <v>34538</v>
      </c>
      <c r="I261" s="3">
        <v>414456</v>
      </c>
      <c r="J261">
        <v>4</v>
      </c>
      <c r="K261">
        <v>2</v>
      </c>
      <c r="L261">
        <v>15</v>
      </c>
      <c r="M261" t="s">
        <v>11</v>
      </c>
      <c r="N261" t="str">
        <f>IF(tblCustomer[[#This Row],[Monthly Revenue]]&gt;=30000, "Tier 1 ", IF(tblCustomer[[#This Row],[Monthly Revenue]]&gt;= 15000,"Tier 2 ","Tier 3 "))</f>
        <v xml:space="preserve">Tier 1 </v>
      </c>
      <c r="O261" t="s">
        <v>1028</v>
      </c>
    </row>
    <row r="262" spans="1:15" x14ac:dyDescent="0.25">
      <c r="A262" t="s">
        <v>539</v>
      </c>
      <c r="B262" t="s">
        <v>540</v>
      </c>
      <c r="C262" t="s">
        <v>9</v>
      </c>
      <c r="D262" t="s">
        <v>4</v>
      </c>
      <c r="E262" t="s">
        <v>22</v>
      </c>
      <c r="F262">
        <v>23</v>
      </c>
      <c r="G262" t="b">
        <v>0</v>
      </c>
      <c r="H262" s="3">
        <v>14250</v>
      </c>
      <c r="I262" s="3">
        <v>171000</v>
      </c>
      <c r="J262">
        <v>2</v>
      </c>
      <c r="K262">
        <v>3.5</v>
      </c>
      <c r="L262">
        <v>30</v>
      </c>
      <c r="M262" t="s">
        <v>11</v>
      </c>
      <c r="N262" t="str">
        <f>IF(tblCustomer[[#This Row],[Monthly Revenue]]&gt;=30000, "Tier 1 ", IF(tblCustomer[[#This Row],[Monthly Revenue]]&gt;= 15000,"Tier 2 ","Tier 3 "))</f>
        <v xml:space="preserve">Tier 3 </v>
      </c>
      <c r="O262" t="s">
        <v>1031</v>
      </c>
    </row>
    <row r="263" spans="1:15" x14ac:dyDescent="0.25">
      <c r="A263" t="s">
        <v>541</v>
      </c>
      <c r="B263" t="s">
        <v>542</v>
      </c>
      <c r="C263" t="s">
        <v>3</v>
      </c>
      <c r="D263" t="s">
        <v>4</v>
      </c>
      <c r="E263" t="s">
        <v>5</v>
      </c>
      <c r="F263">
        <v>8</v>
      </c>
      <c r="G263" t="b">
        <v>0</v>
      </c>
      <c r="H263" s="3">
        <v>12125</v>
      </c>
      <c r="I263" s="3">
        <v>145500</v>
      </c>
      <c r="J263">
        <v>3</v>
      </c>
      <c r="K263">
        <v>1.67</v>
      </c>
      <c r="L263">
        <v>15</v>
      </c>
      <c r="M263" t="s">
        <v>11</v>
      </c>
      <c r="N263" t="str">
        <f>IF(tblCustomer[[#This Row],[Monthly Revenue]]&gt;=30000, "Tier 1 ", IF(tblCustomer[[#This Row],[Monthly Revenue]]&gt;= 15000,"Tier 2 ","Tier 3 "))</f>
        <v xml:space="preserve">Tier 3 </v>
      </c>
      <c r="O263" t="s">
        <v>1027</v>
      </c>
    </row>
    <row r="264" spans="1:15" x14ac:dyDescent="0.25">
      <c r="A264" t="s">
        <v>543</v>
      </c>
      <c r="B264" t="s">
        <v>544</v>
      </c>
      <c r="C264" t="s">
        <v>17</v>
      </c>
      <c r="D264" t="s">
        <v>4</v>
      </c>
      <c r="E264" t="s">
        <v>28</v>
      </c>
      <c r="F264">
        <v>17</v>
      </c>
      <c r="G264" t="b">
        <v>0</v>
      </c>
      <c r="H264" s="3">
        <v>14279</v>
      </c>
      <c r="I264" s="3">
        <v>171348</v>
      </c>
      <c r="J264">
        <v>3</v>
      </c>
      <c r="K264">
        <v>2.67</v>
      </c>
      <c r="L264">
        <v>30</v>
      </c>
      <c r="M264" t="s">
        <v>11</v>
      </c>
      <c r="N264" t="str">
        <f>IF(tblCustomer[[#This Row],[Monthly Revenue]]&gt;=30000, "Tier 1 ", IF(tblCustomer[[#This Row],[Monthly Revenue]]&gt;= 15000,"Tier 2 ","Tier 3 "))</f>
        <v xml:space="preserve">Tier 3 </v>
      </c>
      <c r="O264" t="s">
        <v>1030</v>
      </c>
    </row>
    <row r="265" spans="1:15" x14ac:dyDescent="0.25">
      <c r="A265" t="s">
        <v>545</v>
      </c>
      <c r="B265" t="s">
        <v>546</v>
      </c>
      <c r="C265" t="s">
        <v>27</v>
      </c>
      <c r="D265" t="s">
        <v>4</v>
      </c>
      <c r="E265" t="s">
        <v>28</v>
      </c>
      <c r="F265">
        <v>58</v>
      </c>
      <c r="G265" t="b">
        <v>0</v>
      </c>
      <c r="H265" s="3">
        <v>28130</v>
      </c>
      <c r="I265" s="3">
        <v>337560</v>
      </c>
      <c r="J265">
        <v>6</v>
      </c>
      <c r="K265">
        <v>3.5</v>
      </c>
      <c r="L265">
        <v>10</v>
      </c>
      <c r="M265" t="s">
        <v>11</v>
      </c>
      <c r="N265" t="str">
        <f>IF(tblCustomer[[#This Row],[Monthly Revenue]]&gt;=30000, "Tier 1 ", IF(tblCustomer[[#This Row],[Monthly Revenue]]&gt;= 15000,"Tier 2 ","Tier 3 "))</f>
        <v xml:space="preserve">Tier 2 </v>
      </c>
      <c r="O265" t="s">
        <v>1032</v>
      </c>
    </row>
    <row r="266" spans="1:15" x14ac:dyDescent="0.25">
      <c r="A266" t="s">
        <v>547</v>
      </c>
      <c r="B266" t="s">
        <v>548</v>
      </c>
      <c r="C266" t="s">
        <v>9</v>
      </c>
      <c r="D266" t="s">
        <v>54</v>
      </c>
      <c r="E266" t="s">
        <v>22</v>
      </c>
      <c r="F266">
        <v>14</v>
      </c>
      <c r="G266" t="b">
        <v>1</v>
      </c>
      <c r="H266" s="3">
        <v>18500</v>
      </c>
      <c r="I266" s="3">
        <v>222000</v>
      </c>
      <c r="J266">
        <v>6</v>
      </c>
      <c r="K266">
        <v>2.17</v>
      </c>
      <c r="L266">
        <v>55</v>
      </c>
      <c r="M266" t="s">
        <v>6</v>
      </c>
      <c r="N266" t="str">
        <f>IF(tblCustomer[[#This Row],[Monthly Revenue]]&gt;=30000, "Tier 1 ", IF(tblCustomer[[#This Row],[Monthly Revenue]]&gt;= 15000,"Tier 2 ","Tier 3 "))</f>
        <v xml:space="preserve">Tier 2 </v>
      </c>
      <c r="O266" t="s">
        <v>1028</v>
      </c>
    </row>
    <row r="267" spans="1:15" x14ac:dyDescent="0.25">
      <c r="A267" t="s">
        <v>549</v>
      </c>
      <c r="B267" t="s">
        <v>550</v>
      </c>
      <c r="C267" t="s">
        <v>17</v>
      </c>
      <c r="D267" t="s">
        <v>4</v>
      </c>
      <c r="E267" t="s">
        <v>5</v>
      </c>
      <c r="F267">
        <v>41</v>
      </c>
      <c r="G267" t="b">
        <v>0</v>
      </c>
      <c r="H267" s="3">
        <v>16307</v>
      </c>
      <c r="I267" s="3">
        <v>195684</v>
      </c>
      <c r="J267">
        <v>3</v>
      </c>
      <c r="K267">
        <v>1</v>
      </c>
      <c r="L267">
        <v>60</v>
      </c>
      <c r="M267" t="s">
        <v>19</v>
      </c>
      <c r="N267" t="str">
        <f>IF(tblCustomer[[#This Row],[Monthly Revenue]]&gt;=30000, "Tier 1 ", IF(tblCustomer[[#This Row],[Monthly Revenue]]&gt;= 15000,"Tier 2 ","Tier 3 "))</f>
        <v xml:space="preserve">Tier 2 </v>
      </c>
      <c r="O267" t="s">
        <v>1029</v>
      </c>
    </row>
    <row r="268" spans="1:15" x14ac:dyDescent="0.25">
      <c r="A268" t="s">
        <v>551</v>
      </c>
      <c r="B268" t="s">
        <v>552</v>
      </c>
      <c r="C268" t="s">
        <v>14</v>
      </c>
      <c r="D268" t="s">
        <v>4</v>
      </c>
      <c r="E268" t="s">
        <v>28</v>
      </c>
      <c r="F268">
        <v>23</v>
      </c>
      <c r="G268" t="b">
        <v>0</v>
      </c>
      <c r="H268" s="3">
        <v>41641</v>
      </c>
      <c r="I268" s="3">
        <v>499692</v>
      </c>
      <c r="J268">
        <v>4</v>
      </c>
      <c r="K268">
        <v>2.75</v>
      </c>
      <c r="L268">
        <v>0</v>
      </c>
      <c r="M268" t="s">
        <v>11</v>
      </c>
      <c r="N268" t="str">
        <f>IF(tblCustomer[[#This Row],[Monthly Revenue]]&gt;=30000, "Tier 1 ", IF(tblCustomer[[#This Row],[Monthly Revenue]]&gt;= 15000,"Tier 2 ","Tier 3 "))</f>
        <v xml:space="preserve">Tier 1 </v>
      </c>
      <c r="O268" t="s">
        <v>1031</v>
      </c>
    </row>
    <row r="269" spans="1:15" x14ac:dyDescent="0.25">
      <c r="A269" t="s">
        <v>553</v>
      </c>
      <c r="B269" t="s">
        <v>554</v>
      </c>
      <c r="C269" t="s">
        <v>14</v>
      </c>
      <c r="D269" t="s">
        <v>4</v>
      </c>
      <c r="E269" t="s">
        <v>28</v>
      </c>
      <c r="F269">
        <v>3</v>
      </c>
      <c r="G269" t="b">
        <v>0</v>
      </c>
      <c r="H269" s="3">
        <v>33491</v>
      </c>
      <c r="I269" s="3">
        <v>401892</v>
      </c>
      <c r="J269">
        <v>5</v>
      </c>
      <c r="K269">
        <v>1.6</v>
      </c>
      <c r="L269">
        <v>55</v>
      </c>
      <c r="M269" t="s">
        <v>6</v>
      </c>
      <c r="N269" t="str">
        <f>IF(tblCustomer[[#This Row],[Monthly Revenue]]&gt;=30000, "Tier 1 ", IF(tblCustomer[[#This Row],[Monthly Revenue]]&gt;= 15000,"Tier 2 ","Tier 3 "))</f>
        <v xml:space="preserve">Tier 1 </v>
      </c>
      <c r="O269" t="s">
        <v>1030</v>
      </c>
    </row>
    <row r="270" spans="1:15" x14ac:dyDescent="0.25">
      <c r="A270" t="s">
        <v>555</v>
      </c>
      <c r="B270" t="s">
        <v>556</v>
      </c>
      <c r="C270" t="s">
        <v>9</v>
      </c>
      <c r="D270" t="s">
        <v>4</v>
      </c>
      <c r="E270" t="s">
        <v>22</v>
      </c>
      <c r="F270">
        <v>11</v>
      </c>
      <c r="G270" t="b">
        <v>0</v>
      </c>
      <c r="H270" s="3">
        <v>24489</v>
      </c>
      <c r="I270" s="3">
        <v>293868</v>
      </c>
      <c r="J270">
        <v>4</v>
      </c>
      <c r="K270">
        <v>3</v>
      </c>
      <c r="L270">
        <v>0</v>
      </c>
      <c r="M270" t="s">
        <v>11</v>
      </c>
      <c r="N270" t="str">
        <f>IF(tblCustomer[[#This Row],[Monthly Revenue]]&gt;=30000, "Tier 1 ", IF(tblCustomer[[#This Row],[Monthly Revenue]]&gt;= 15000,"Tier 2 ","Tier 3 "))</f>
        <v xml:space="preserve">Tier 2 </v>
      </c>
      <c r="O270" t="s">
        <v>1032</v>
      </c>
    </row>
    <row r="271" spans="1:15" x14ac:dyDescent="0.25">
      <c r="A271" t="s">
        <v>557</v>
      </c>
      <c r="B271" t="s">
        <v>558</v>
      </c>
      <c r="C271" t="s">
        <v>17</v>
      </c>
      <c r="D271" t="s">
        <v>4</v>
      </c>
      <c r="E271" t="s">
        <v>28</v>
      </c>
      <c r="F271">
        <v>51</v>
      </c>
      <c r="G271" t="b">
        <v>1</v>
      </c>
      <c r="H271" s="3">
        <v>31416</v>
      </c>
      <c r="I271" s="3">
        <v>376992</v>
      </c>
      <c r="J271">
        <v>3</v>
      </c>
      <c r="K271">
        <v>2.33</v>
      </c>
      <c r="L271">
        <v>45</v>
      </c>
      <c r="M271" t="s">
        <v>6</v>
      </c>
      <c r="N271" t="str">
        <f>IF(tblCustomer[[#This Row],[Monthly Revenue]]&gt;=30000, "Tier 1 ", IF(tblCustomer[[#This Row],[Monthly Revenue]]&gt;= 15000,"Tier 2 ","Tier 3 "))</f>
        <v xml:space="preserve">Tier 1 </v>
      </c>
      <c r="O271" t="s">
        <v>1030</v>
      </c>
    </row>
    <row r="272" spans="1:15" x14ac:dyDescent="0.25">
      <c r="A272" t="s">
        <v>559</v>
      </c>
      <c r="B272" t="s">
        <v>560</v>
      </c>
      <c r="C272" t="s">
        <v>17</v>
      </c>
      <c r="D272" t="s">
        <v>4</v>
      </c>
      <c r="E272" t="s">
        <v>22</v>
      </c>
      <c r="F272">
        <v>83</v>
      </c>
      <c r="G272" t="b">
        <v>1</v>
      </c>
      <c r="H272" s="3">
        <v>44322</v>
      </c>
      <c r="I272" s="3">
        <v>531864</v>
      </c>
      <c r="J272">
        <v>2</v>
      </c>
      <c r="K272">
        <v>2</v>
      </c>
      <c r="L272">
        <v>45</v>
      </c>
      <c r="M272" t="s">
        <v>6</v>
      </c>
      <c r="N272" t="str">
        <f>IF(tblCustomer[[#This Row],[Monthly Revenue]]&gt;=30000, "Tier 1 ", IF(tblCustomer[[#This Row],[Monthly Revenue]]&gt;= 15000,"Tier 2 ","Tier 3 "))</f>
        <v xml:space="preserve">Tier 1 </v>
      </c>
      <c r="O272" t="s">
        <v>1030</v>
      </c>
    </row>
    <row r="273" spans="1:15" x14ac:dyDescent="0.25">
      <c r="A273" t="s">
        <v>561</v>
      </c>
      <c r="B273" t="s">
        <v>562</v>
      </c>
      <c r="C273" t="s">
        <v>3</v>
      </c>
      <c r="D273" t="s">
        <v>10</v>
      </c>
      <c r="E273" t="s">
        <v>22</v>
      </c>
      <c r="F273">
        <v>50</v>
      </c>
      <c r="G273" t="b">
        <v>0</v>
      </c>
      <c r="H273" s="3">
        <v>40525</v>
      </c>
      <c r="I273" s="3">
        <v>486300</v>
      </c>
      <c r="J273">
        <v>4</v>
      </c>
      <c r="K273">
        <v>3.75</v>
      </c>
      <c r="L273">
        <v>30</v>
      </c>
      <c r="M273" t="s">
        <v>11</v>
      </c>
      <c r="N273" t="str">
        <f>IF(tblCustomer[[#This Row],[Monthly Revenue]]&gt;=30000, "Tier 1 ", IF(tblCustomer[[#This Row],[Monthly Revenue]]&gt;= 15000,"Tier 2 ","Tier 3 "))</f>
        <v xml:space="preserve">Tier 1 </v>
      </c>
      <c r="O273" t="s">
        <v>1032</v>
      </c>
    </row>
    <row r="274" spans="1:15" x14ac:dyDescent="0.25">
      <c r="A274" t="s">
        <v>563</v>
      </c>
      <c r="B274" t="s">
        <v>564</v>
      </c>
      <c r="C274" t="s">
        <v>17</v>
      </c>
      <c r="D274" t="s">
        <v>10</v>
      </c>
      <c r="E274" t="s">
        <v>28</v>
      </c>
      <c r="F274">
        <v>17</v>
      </c>
      <c r="G274" t="b">
        <v>1</v>
      </c>
      <c r="H274" s="3">
        <v>18926</v>
      </c>
      <c r="I274" s="3">
        <v>227112</v>
      </c>
      <c r="J274">
        <v>8</v>
      </c>
      <c r="K274">
        <v>2.75</v>
      </c>
      <c r="L274">
        <v>20</v>
      </c>
      <c r="M274" t="s">
        <v>11</v>
      </c>
      <c r="N274" t="str">
        <f>IF(tblCustomer[[#This Row],[Monthly Revenue]]&gt;=30000, "Tier 1 ", IF(tblCustomer[[#This Row],[Monthly Revenue]]&gt;= 15000,"Tier 2 ","Tier 3 "))</f>
        <v xml:space="preserve">Tier 2 </v>
      </c>
      <c r="O274" t="s">
        <v>1031</v>
      </c>
    </row>
    <row r="275" spans="1:15" x14ac:dyDescent="0.25">
      <c r="A275" t="s">
        <v>565</v>
      </c>
      <c r="B275" t="s">
        <v>566</v>
      </c>
      <c r="C275" t="s">
        <v>9</v>
      </c>
      <c r="D275" t="s">
        <v>4</v>
      </c>
      <c r="E275" t="s">
        <v>28</v>
      </c>
      <c r="F275">
        <v>8</v>
      </c>
      <c r="G275" t="b">
        <v>1</v>
      </c>
      <c r="H275" s="3">
        <v>12244</v>
      </c>
      <c r="I275" s="3">
        <v>146928</v>
      </c>
      <c r="J275">
        <v>5</v>
      </c>
      <c r="K275">
        <v>2.6</v>
      </c>
      <c r="L275">
        <v>10</v>
      </c>
      <c r="M275" t="s">
        <v>11</v>
      </c>
      <c r="N275" t="str">
        <f>IF(tblCustomer[[#This Row],[Monthly Revenue]]&gt;=30000, "Tier 1 ", IF(tblCustomer[[#This Row],[Monthly Revenue]]&gt;= 15000,"Tier 2 ","Tier 3 "))</f>
        <v xml:space="preserve">Tier 3 </v>
      </c>
      <c r="O275" t="s">
        <v>1030</v>
      </c>
    </row>
    <row r="276" spans="1:15" x14ac:dyDescent="0.25">
      <c r="A276" t="s">
        <v>567</v>
      </c>
      <c r="B276" t="s">
        <v>568</v>
      </c>
      <c r="C276" t="s">
        <v>3</v>
      </c>
      <c r="D276" t="s">
        <v>4</v>
      </c>
      <c r="E276" t="s">
        <v>22</v>
      </c>
      <c r="F276">
        <v>8</v>
      </c>
      <c r="G276" t="b">
        <v>0</v>
      </c>
      <c r="H276" s="3">
        <v>7507</v>
      </c>
      <c r="I276" s="3">
        <v>90084</v>
      </c>
      <c r="J276">
        <v>5</v>
      </c>
      <c r="K276">
        <v>2.6</v>
      </c>
      <c r="L276">
        <v>40</v>
      </c>
      <c r="M276" t="s">
        <v>6</v>
      </c>
      <c r="N276" t="str">
        <f>IF(tblCustomer[[#This Row],[Monthly Revenue]]&gt;=30000, "Tier 1 ", IF(tblCustomer[[#This Row],[Monthly Revenue]]&gt;= 15000,"Tier 2 ","Tier 3 "))</f>
        <v xml:space="preserve">Tier 3 </v>
      </c>
      <c r="O276" t="s">
        <v>1030</v>
      </c>
    </row>
    <row r="277" spans="1:15" x14ac:dyDescent="0.25">
      <c r="A277" t="s">
        <v>569</v>
      </c>
      <c r="B277" t="s">
        <v>570</v>
      </c>
      <c r="C277" t="s">
        <v>27</v>
      </c>
      <c r="D277" t="s">
        <v>90</v>
      </c>
      <c r="E277" t="s">
        <v>5</v>
      </c>
      <c r="F277">
        <v>50</v>
      </c>
      <c r="G277" t="b">
        <v>0</v>
      </c>
      <c r="H277" s="3">
        <v>13325</v>
      </c>
      <c r="I277" s="3">
        <v>159900</v>
      </c>
      <c r="J277">
        <v>4</v>
      </c>
      <c r="K277">
        <v>2.25</v>
      </c>
      <c r="L277">
        <v>45</v>
      </c>
      <c r="M277" t="s">
        <v>6</v>
      </c>
      <c r="N277" t="str">
        <f>IF(tblCustomer[[#This Row],[Monthly Revenue]]&gt;=30000, "Tier 1 ", IF(tblCustomer[[#This Row],[Monthly Revenue]]&gt;= 15000,"Tier 2 ","Tier 3 "))</f>
        <v xml:space="preserve">Tier 3 </v>
      </c>
      <c r="O277" t="s">
        <v>1032</v>
      </c>
    </row>
    <row r="278" spans="1:15" x14ac:dyDescent="0.25">
      <c r="A278" t="s">
        <v>571</v>
      </c>
      <c r="B278" t="s">
        <v>572</v>
      </c>
      <c r="C278" t="s">
        <v>3</v>
      </c>
      <c r="D278" t="s">
        <v>4</v>
      </c>
      <c r="E278" t="s">
        <v>22</v>
      </c>
      <c r="F278">
        <v>26</v>
      </c>
      <c r="G278" t="b">
        <v>0</v>
      </c>
      <c r="H278" s="3">
        <v>21930</v>
      </c>
      <c r="I278" s="3">
        <v>263160</v>
      </c>
      <c r="J278">
        <v>5</v>
      </c>
      <c r="K278">
        <v>1.6</v>
      </c>
      <c r="L278">
        <v>55</v>
      </c>
      <c r="M278" t="s">
        <v>6</v>
      </c>
      <c r="N278" t="str">
        <f>IF(tblCustomer[[#This Row],[Monthly Revenue]]&gt;=30000, "Tier 1 ", IF(tblCustomer[[#This Row],[Monthly Revenue]]&gt;= 15000,"Tier 2 ","Tier 3 "))</f>
        <v xml:space="preserve">Tier 2 </v>
      </c>
      <c r="O278" t="s">
        <v>1032</v>
      </c>
    </row>
    <row r="279" spans="1:15" x14ac:dyDescent="0.25">
      <c r="A279" t="s">
        <v>573</v>
      </c>
      <c r="B279" t="s">
        <v>574</v>
      </c>
      <c r="C279" t="s">
        <v>9</v>
      </c>
      <c r="D279" t="s">
        <v>4</v>
      </c>
      <c r="E279" t="s">
        <v>22</v>
      </c>
      <c r="F279">
        <v>12</v>
      </c>
      <c r="G279" t="b">
        <v>1</v>
      </c>
      <c r="H279" s="3">
        <v>23942</v>
      </c>
      <c r="I279" s="3">
        <v>287304</v>
      </c>
      <c r="J279">
        <v>6</v>
      </c>
      <c r="K279">
        <v>2</v>
      </c>
      <c r="L279">
        <v>25</v>
      </c>
      <c r="M279" t="s">
        <v>11</v>
      </c>
      <c r="N279" t="str">
        <f>IF(tblCustomer[[#This Row],[Monthly Revenue]]&gt;=30000, "Tier 1 ", IF(tblCustomer[[#This Row],[Monthly Revenue]]&gt;= 15000,"Tier 2 ","Tier 3 "))</f>
        <v xml:space="preserve">Tier 2 </v>
      </c>
      <c r="O279" t="s">
        <v>1029</v>
      </c>
    </row>
    <row r="280" spans="1:15" x14ac:dyDescent="0.25">
      <c r="A280" t="s">
        <v>575</v>
      </c>
      <c r="B280" t="s">
        <v>576</v>
      </c>
      <c r="C280" t="s">
        <v>27</v>
      </c>
      <c r="D280" t="s">
        <v>18</v>
      </c>
      <c r="E280" t="s">
        <v>28</v>
      </c>
      <c r="F280">
        <v>13</v>
      </c>
      <c r="G280" t="b">
        <v>0</v>
      </c>
      <c r="H280" s="3">
        <v>29433</v>
      </c>
      <c r="I280" s="3">
        <v>353196</v>
      </c>
      <c r="J280">
        <v>4</v>
      </c>
      <c r="K280">
        <v>3.75</v>
      </c>
      <c r="L280">
        <v>30</v>
      </c>
      <c r="M280" t="s">
        <v>11</v>
      </c>
      <c r="N280" t="str">
        <f>IF(tblCustomer[[#This Row],[Monthly Revenue]]&gt;=30000, "Tier 1 ", IF(tblCustomer[[#This Row],[Monthly Revenue]]&gt;= 15000,"Tier 2 ","Tier 3 "))</f>
        <v xml:space="preserve">Tier 2 </v>
      </c>
      <c r="O280" t="s">
        <v>1029</v>
      </c>
    </row>
    <row r="281" spans="1:15" x14ac:dyDescent="0.25">
      <c r="A281" t="s">
        <v>577</v>
      </c>
      <c r="B281" t="s">
        <v>578</v>
      </c>
      <c r="C281" t="s">
        <v>14</v>
      </c>
      <c r="D281" t="s">
        <v>71</v>
      </c>
      <c r="E281" t="s">
        <v>28</v>
      </c>
      <c r="F281">
        <v>9</v>
      </c>
      <c r="G281" t="b">
        <v>0</v>
      </c>
      <c r="H281" s="3">
        <v>20664</v>
      </c>
      <c r="I281" s="3">
        <v>247968</v>
      </c>
      <c r="J281">
        <v>4</v>
      </c>
      <c r="K281">
        <v>2</v>
      </c>
      <c r="L281">
        <v>45</v>
      </c>
      <c r="M281" t="s">
        <v>6</v>
      </c>
      <c r="N281" t="str">
        <f>IF(tblCustomer[[#This Row],[Monthly Revenue]]&gt;=30000, "Tier 1 ", IF(tblCustomer[[#This Row],[Monthly Revenue]]&gt;= 15000,"Tier 2 ","Tier 3 "))</f>
        <v xml:space="preserve">Tier 2 </v>
      </c>
      <c r="O281" t="s">
        <v>1027</v>
      </c>
    </row>
    <row r="282" spans="1:15" x14ac:dyDescent="0.25">
      <c r="A282" t="s">
        <v>579</v>
      </c>
      <c r="B282" t="s">
        <v>580</v>
      </c>
      <c r="C282" t="s">
        <v>27</v>
      </c>
      <c r="D282" t="s">
        <v>4</v>
      </c>
      <c r="E282" t="s">
        <v>22</v>
      </c>
      <c r="F282">
        <v>1</v>
      </c>
      <c r="G282" t="b">
        <v>1</v>
      </c>
      <c r="H282" s="3">
        <v>24062</v>
      </c>
      <c r="I282" s="3">
        <v>288744</v>
      </c>
      <c r="J282">
        <v>8</v>
      </c>
      <c r="K282">
        <v>2.75</v>
      </c>
      <c r="L282">
        <v>20</v>
      </c>
      <c r="M282" t="s">
        <v>11</v>
      </c>
      <c r="N282" t="str">
        <f>IF(tblCustomer[[#This Row],[Monthly Revenue]]&gt;=30000, "Tier 1 ", IF(tblCustomer[[#This Row],[Monthly Revenue]]&gt;= 15000,"Tier 2 ","Tier 3 "))</f>
        <v xml:space="preserve">Tier 2 </v>
      </c>
      <c r="O282" t="s">
        <v>1029</v>
      </c>
    </row>
    <row r="283" spans="1:15" x14ac:dyDescent="0.25">
      <c r="A283" t="s">
        <v>581</v>
      </c>
      <c r="B283" t="s">
        <v>582</v>
      </c>
      <c r="C283" t="s">
        <v>9</v>
      </c>
      <c r="D283" t="s">
        <v>18</v>
      </c>
      <c r="E283" t="s">
        <v>5</v>
      </c>
      <c r="F283">
        <v>64</v>
      </c>
      <c r="G283" t="b">
        <v>0</v>
      </c>
      <c r="H283" s="3">
        <v>46912</v>
      </c>
      <c r="I283" s="3">
        <v>562944</v>
      </c>
      <c r="J283">
        <v>7</v>
      </c>
      <c r="K283">
        <v>3.14</v>
      </c>
      <c r="L283">
        <v>10</v>
      </c>
      <c r="M283" t="s">
        <v>11</v>
      </c>
      <c r="N283" t="str">
        <f>IF(tblCustomer[[#This Row],[Monthly Revenue]]&gt;=30000, "Tier 1 ", IF(tblCustomer[[#This Row],[Monthly Revenue]]&gt;= 15000,"Tier 2 ","Tier 3 "))</f>
        <v xml:space="preserve">Tier 1 </v>
      </c>
      <c r="O283" t="s">
        <v>1027</v>
      </c>
    </row>
    <row r="284" spans="1:15" x14ac:dyDescent="0.25">
      <c r="A284" t="s">
        <v>583</v>
      </c>
      <c r="B284" t="s">
        <v>584</v>
      </c>
      <c r="C284" t="s">
        <v>17</v>
      </c>
      <c r="D284" t="s">
        <v>4</v>
      </c>
      <c r="E284" t="s">
        <v>22</v>
      </c>
      <c r="F284">
        <v>1</v>
      </c>
      <c r="G284" t="b">
        <v>0</v>
      </c>
      <c r="H284" s="3">
        <v>13310</v>
      </c>
      <c r="I284" s="3">
        <v>159720</v>
      </c>
      <c r="J284">
        <v>4</v>
      </c>
      <c r="K284">
        <v>1.5</v>
      </c>
      <c r="L284">
        <v>45</v>
      </c>
      <c r="M284" t="s">
        <v>6</v>
      </c>
      <c r="N284" t="str">
        <f>IF(tblCustomer[[#This Row],[Monthly Revenue]]&gt;=30000, "Tier 1 ", IF(tblCustomer[[#This Row],[Monthly Revenue]]&gt;= 15000,"Tier 2 ","Tier 3 "))</f>
        <v xml:space="preserve">Tier 3 </v>
      </c>
      <c r="O284" t="s">
        <v>1027</v>
      </c>
    </row>
    <row r="285" spans="1:15" x14ac:dyDescent="0.25">
      <c r="A285" t="s">
        <v>585</v>
      </c>
      <c r="B285" t="s">
        <v>586</v>
      </c>
      <c r="C285" t="s">
        <v>14</v>
      </c>
      <c r="D285" t="s">
        <v>33</v>
      </c>
      <c r="E285" t="s">
        <v>22</v>
      </c>
      <c r="F285">
        <v>18</v>
      </c>
      <c r="G285" t="b">
        <v>0</v>
      </c>
      <c r="H285" s="3">
        <v>20293</v>
      </c>
      <c r="I285" s="3">
        <v>243516</v>
      </c>
      <c r="J285">
        <v>3</v>
      </c>
      <c r="K285">
        <v>0</v>
      </c>
      <c r="L285">
        <v>60</v>
      </c>
      <c r="M285" t="s">
        <v>19</v>
      </c>
      <c r="N285" t="str">
        <f>IF(tblCustomer[[#This Row],[Monthly Revenue]]&gt;=30000, "Tier 1 ", IF(tblCustomer[[#This Row],[Monthly Revenue]]&gt;= 15000,"Tier 2 ","Tier 3 "))</f>
        <v xml:space="preserve">Tier 2 </v>
      </c>
      <c r="O285" t="s">
        <v>1027</v>
      </c>
    </row>
    <row r="286" spans="1:15" x14ac:dyDescent="0.25">
      <c r="A286" t="s">
        <v>587</v>
      </c>
      <c r="B286" t="s">
        <v>588</v>
      </c>
      <c r="C286" t="s">
        <v>17</v>
      </c>
      <c r="D286" t="s">
        <v>4</v>
      </c>
      <c r="E286" t="s">
        <v>5</v>
      </c>
      <c r="F286">
        <v>4</v>
      </c>
      <c r="G286" t="b">
        <v>0</v>
      </c>
      <c r="H286" s="3">
        <v>10299</v>
      </c>
      <c r="I286" s="3">
        <v>123588</v>
      </c>
      <c r="J286">
        <v>1</v>
      </c>
      <c r="K286">
        <v>0</v>
      </c>
      <c r="L286">
        <v>60</v>
      </c>
      <c r="M286" t="s">
        <v>19</v>
      </c>
      <c r="N286" t="str">
        <f>IF(tblCustomer[[#This Row],[Monthly Revenue]]&gt;=30000, "Tier 1 ", IF(tblCustomer[[#This Row],[Monthly Revenue]]&gt;= 15000,"Tier 2 ","Tier 3 "))</f>
        <v xml:space="preserve">Tier 3 </v>
      </c>
      <c r="O286" t="s">
        <v>1028</v>
      </c>
    </row>
    <row r="287" spans="1:15" x14ac:dyDescent="0.25">
      <c r="A287" t="s">
        <v>589</v>
      </c>
      <c r="B287" t="s">
        <v>590</v>
      </c>
      <c r="C287" t="s">
        <v>27</v>
      </c>
      <c r="D287" t="s">
        <v>10</v>
      </c>
      <c r="E287" t="s">
        <v>28</v>
      </c>
      <c r="F287">
        <v>4</v>
      </c>
      <c r="G287" t="b">
        <v>0</v>
      </c>
      <c r="H287" s="3">
        <v>22933</v>
      </c>
      <c r="I287" s="3">
        <v>275196</v>
      </c>
      <c r="J287">
        <v>6</v>
      </c>
      <c r="K287">
        <v>2.17</v>
      </c>
      <c r="L287">
        <v>55</v>
      </c>
      <c r="M287" t="s">
        <v>6</v>
      </c>
      <c r="N287" t="str">
        <f>IF(tblCustomer[[#This Row],[Monthly Revenue]]&gt;=30000, "Tier 1 ", IF(tblCustomer[[#This Row],[Monthly Revenue]]&gt;= 15000,"Tier 2 ","Tier 3 "))</f>
        <v xml:space="preserve">Tier 2 </v>
      </c>
      <c r="O287" t="s">
        <v>1031</v>
      </c>
    </row>
    <row r="288" spans="1:15" x14ac:dyDescent="0.25">
      <c r="A288" t="s">
        <v>591</v>
      </c>
      <c r="B288" t="s">
        <v>592</v>
      </c>
      <c r="C288" t="s">
        <v>3</v>
      </c>
      <c r="D288" t="s">
        <v>4</v>
      </c>
      <c r="E288" t="s">
        <v>22</v>
      </c>
      <c r="F288">
        <v>16</v>
      </c>
      <c r="G288" t="b">
        <v>0</v>
      </c>
      <c r="H288" s="3">
        <v>12567</v>
      </c>
      <c r="I288" s="3">
        <v>150804</v>
      </c>
      <c r="J288">
        <v>9</v>
      </c>
      <c r="K288">
        <v>3.22</v>
      </c>
      <c r="L288">
        <v>20</v>
      </c>
      <c r="M288" t="s">
        <v>11</v>
      </c>
      <c r="N288" t="str">
        <f>IF(tblCustomer[[#This Row],[Monthly Revenue]]&gt;=30000, "Tier 1 ", IF(tblCustomer[[#This Row],[Monthly Revenue]]&gt;= 15000,"Tier 2 ","Tier 3 "))</f>
        <v xml:space="preserve">Tier 3 </v>
      </c>
      <c r="O288" t="s">
        <v>1029</v>
      </c>
    </row>
    <row r="289" spans="1:15" x14ac:dyDescent="0.25">
      <c r="A289" t="s">
        <v>593</v>
      </c>
      <c r="B289" t="s">
        <v>594</v>
      </c>
      <c r="C289" t="s">
        <v>14</v>
      </c>
      <c r="D289" t="s">
        <v>4</v>
      </c>
      <c r="E289" t="s">
        <v>5</v>
      </c>
      <c r="F289">
        <v>12</v>
      </c>
      <c r="G289" t="b">
        <v>0</v>
      </c>
      <c r="H289" s="3">
        <v>34198</v>
      </c>
      <c r="I289" s="3">
        <v>410376</v>
      </c>
      <c r="J289">
        <v>3</v>
      </c>
      <c r="K289">
        <v>2.67</v>
      </c>
      <c r="L289">
        <v>30</v>
      </c>
      <c r="M289" t="s">
        <v>11</v>
      </c>
      <c r="N289" t="str">
        <f>IF(tblCustomer[[#This Row],[Monthly Revenue]]&gt;=30000, "Tier 1 ", IF(tblCustomer[[#This Row],[Monthly Revenue]]&gt;= 15000,"Tier 2 ","Tier 3 "))</f>
        <v xml:space="preserve">Tier 1 </v>
      </c>
      <c r="O289" t="s">
        <v>1032</v>
      </c>
    </row>
    <row r="290" spans="1:15" x14ac:dyDescent="0.25">
      <c r="A290" t="s">
        <v>595</v>
      </c>
      <c r="B290" t="s">
        <v>596</v>
      </c>
      <c r="C290" t="s">
        <v>9</v>
      </c>
      <c r="D290" t="s">
        <v>4</v>
      </c>
      <c r="E290" t="s">
        <v>28</v>
      </c>
      <c r="F290">
        <v>10</v>
      </c>
      <c r="G290" t="b">
        <v>1</v>
      </c>
      <c r="H290" s="3">
        <v>21770</v>
      </c>
      <c r="I290" s="3">
        <v>261240</v>
      </c>
      <c r="J290">
        <v>2</v>
      </c>
      <c r="K290">
        <v>4</v>
      </c>
      <c r="L290">
        <v>0</v>
      </c>
      <c r="M290" t="s">
        <v>11</v>
      </c>
      <c r="N290" t="str">
        <f>IF(tblCustomer[[#This Row],[Monthly Revenue]]&gt;=30000, "Tier 1 ", IF(tblCustomer[[#This Row],[Monthly Revenue]]&gt;= 15000,"Tier 2 ","Tier 3 "))</f>
        <v xml:space="preserve">Tier 2 </v>
      </c>
      <c r="O290" t="s">
        <v>1031</v>
      </c>
    </row>
    <row r="291" spans="1:15" x14ac:dyDescent="0.25">
      <c r="A291" t="s">
        <v>597</v>
      </c>
      <c r="B291" t="s">
        <v>598</v>
      </c>
      <c r="C291" t="s">
        <v>27</v>
      </c>
      <c r="D291" t="s">
        <v>4</v>
      </c>
      <c r="E291" t="s">
        <v>22</v>
      </c>
      <c r="F291">
        <v>4</v>
      </c>
      <c r="G291" t="b">
        <v>0</v>
      </c>
      <c r="H291" s="3">
        <v>16168</v>
      </c>
      <c r="I291" s="3">
        <v>194016</v>
      </c>
      <c r="J291">
        <v>5</v>
      </c>
      <c r="K291">
        <v>2</v>
      </c>
      <c r="L291">
        <v>55</v>
      </c>
      <c r="M291" t="s">
        <v>6</v>
      </c>
      <c r="N291" t="str">
        <f>IF(tblCustomer[[#This Row],[Monthly Revenue]]&gt;=30000, "Tier 1 ", IF(tblCustomer[[#This Row],[Monthly Revenue]]&gt;= 15000,"Tier 2 ","Tier 3 "))</f>
        <v xml:space="preserve">Tier 2 </v>
      </c>
      <c r="O291" t="s">
        <v>1029</v>
      </c>
    </row>
    <row r="292" spans="1:15" x14ac:dyDescent="0.25">
      <c r="A292" t="s">
        <v>599</v>
      </c>
      <c r="B292" t="s">
        <v>600</v>
      </c>
      <c r="C292" t="s">
        <v>3</v>
      </c>
      <c r="D292" t="s">
        <v>71</v>
      </c>
      <c r="E292" t="s">
        <v>5</v>
      </c>
      <c r="F292">
        <v>9</v>
      </c>
      <c r="G292" t="b">
        <v>0</v>
      </c>
      <c r="H292" s="3">
        <v>11893</v>
      </c>
      <c r="I292" s="3">
        <v>142716</v>
      </c>
      <c r="J292">
        <v>5</v>
      </c>
      <c r="K292">
        <v>0.6</v>
      </c>
      <c r="L292">
        <v>40</v>
      </c>
      <c r="M292" t="s">
        <v>6</v>
      </c>
      <c r="N292" t="str">
        <f>IF(tblCustomer[[#This Row],[Monthly Revenue]]&gt;=30000, "Tier 1 ", IF(tblCustomer[[#This Row],[Monthly Revenue]]&gt;= 15000,"Tier 2 ","Tier 3 "))</f>
        <v xml:space="preserve">Tier 3 </v>
      </c>
      <c r="O292" t="s">
        <v>1028</v>
      </c>
    </row>
    <row r="293" spans="1:15" x14ac:dyDescent="0.25">
      <c r="A293" t="s">
        <v>601</v>
      </c>
      <c r="B293" t="s">
        <v>602</v>
      </c>
      <c r="C293" t="s">
        <v>3</v>
      </c>
      <c r="D293" t="s">
        <v>18</v>
      </c>
      <c r="E293" t="s">
        <v>28</v>
      </c>
      <c r="F293">
        <v>10</v>
      </c>
      <c r="G293" t="b">
        <v>1</v>
      </c>
      <c r="H293" s="3">
        <v>6797</v>
      </c>
      <c r="I293" s="3">
        <v>81564</v>
      </c>
      <c r="J293">
        <v>2</v>
      </c>
      <c r="K293">
        <v>4</v>
      </c>
      <c r="L293">
        <v>30</v>
      </c>
      <c r="M293" t="s">
        <v>11</v>
      </c>
      <c r="N293" t="str">
        <f>IF(tblCustomer[[#This Row],[Monthly Revenue]]&gt;=30000, "Tier 1 ", IF(tblCustomer[[#This Row],[Monthly Revenue]]&gt;= 15000,"Tier 2 ","Tier 3 "))</f>
        <v xml:space="preserve">Tier 3 </v>
      </c>
      <c r="O293" t="s">
        <v>1028</v>
      </c>
    </row>
    <row r="294" spans="1:15" x14ac:dyDescent="0.25">
      <c r="A294" t="s">
        <v>603</v>
      </c>
      <c r="B294" t="s">
        <v>604</v>
      </c>
      <c r="C294" t="s">
        <v>14</v>
      </c>
      <c r="D294" t="s">
        <v>4</v>
      </c>
      <c r="E294" t="s">
        <v>28</v>
      </c>
      <c r="F294">
        <v>25</v>
      </c>
      <c r="G294" t="b">
        <v>1</v>
      </c>
      <c r="H294" s="3">
        <v>16984</v>
      </c>
      <c r="I294" s="3">
        <v>203808</v>
      </c>
      <c r="J294">
        <v>4</v>
      </c>
      <c r="K294">
        <v>0.75</v>
      </c>
      <c r="L294">
        <v>60</v>
      </c>
      <c r="M294" t="s">
        <v>19</v>
      </c>
      <c r="N294" t="str">
        <f>IF(tblCustomer[[#This Row],[Monthly Revenue]]&gt;=30000, "Tier 1 ", IF(tblCustomer[[#This Row],[Monthly Revenue]]&gt;= 15000,"Tier 2 ","Tier 3 "))</f>
        <v xml:space="preserve">Tier 2 </v>
      </c>
      <c r="O294" t="s">
        <v>1028</v>
      </c>
    </row>
    <row r="295" spans="1:15" x14ac:dyDescent="0.25">
      <c r="A295" t="s">
        <v>605</v>
      </c>
      <c r="B295" t="s">
        <v>606</v>
      </c>
      <c r="C295" t="s">
        <v>9</v>
      </c>
      <c r="D295" t="s">
        <v>10</v>
      </c>
      <c r="E295" t="s">
        <v>28</v>
      </c>
      <c r="F295">
        <v>5</v>
      </c>
      <c r="G295" t="b">
        <v>0</v>
      </c>
      <c r="H295" s="3">
        <v>18559</v>
      </c>
      <c r="I295" s="3">
        <v>222708</v>
      </c>
      <c r="J295">
        <v>5</v>
      </c>
      <c r="K295">
        <v>0.8</v>
      </c>
      <c r="L295">
        <v>70</v>
      </c>
      <c r="M295" t="s">
        <v>19</v>
      </c>
      <c r="N295" t="str">
        <f>IF(tblCustomer[[#This Row],[Monthly Revenue]]&gt;=30000, "Tier 1 ", IF(tblCustomer[[#This Row],[Monthly Revenue]]&gt;= 15000,"Tier 2 ","Tier 3 "))</f>
        <v xml:space="preserve">Tier 2 </v>
      </c>
      <c r="O295" t="s">
        <v>1027</v>
      </c>
    </row>
    <row r="296" spans="1:15" x14ac:dyDescent="0.25">
      <c r="A296" t="s">
        <v>607</v>
      </c>
      <c r="B296" t="s">
        <v>608</v>
      </c>
      <c r="C296" t="s">
        <v>3</v>
      </c>
      <c r="D296" t="s">
        <v>4</v>
      </c>
      <c r="E296" t="s">
        <v>28</v>
      </c>
      <c r="F296">
        <v>1</v>
      </c>
      <c r="G296" t="b">
        <v>0</v>
      </c>
      <c r="H296" s="3">
        <v>1695</v>
      </c>
      <c r="I296" s="3">
        <v>20340</v>
      </c>
      <c r="J296">
        <v>3</v>
      </c>
      <c r="K296">
        <v>3</v>
      </c>
      <c r="L296">
        <v>30</v>
      </c>
      <c r="M296" t="s">
        <v>11</v>
      </c>
      <c r="N296" t="str">
        <f>IF(tblCustomer[[#This Row],[Monthly Revenue]]&gt;=30000, "Tier 1 ", IF(tblCustomer[[#This Row],[Monthly Revenue]]&gt;= 15000,"Tier 2 ","Tier 3 "))</f>
        <v xml:space="preserve">Tier 3 </v>
      </c>
      <c r="O296" t="s">
        <v>1031</v>
      </c>
    </row>
    <row r="297" spans="1:15" x14ac:dyDescent="0.25">
      <c r="A297" t="s">
        <v>609</v>
      </c>
      <c r="B297" t="s">
        <v>610</v>
      </c>
      <c r="C297" t="s">
        <v>27</v>
      </c>
      <c r="D297" t="s">
        <v>4</v>
      </c>
      <c r="E297" t="s">
        <v>22</v>
      </c>
      <c r="F297">
        <v>3</v>
      </c>
      <c r="G297" t="b">
        <v>0</v>
      </c>
      <c r="H297" s="3">
        <v>20042</v>
      </c>
      <c r="I297" s="3">
        <v>240504</v>
      </c>
      <c r="J297">
        <v>1</v>
      </c>
      <c r="K297">
        <v>4</v>
      </c>
      <c r="L297">
        <v>30</v>
      </c>
      <c r="M297" t="s">
        <v>11</v>
      </c>
      <c r="N297" t="str">
        <f>IF(tblCustomer[[#This Row],[Monthly Revenue]]&gt;=30000, "Tier 1 ", IF(tblCustomer[[#This Row],[Monthly Revenue]]&gt;= 15000,"Tier 2 ","Tier 3 "))</f>
        <v xml:space="preserve">Tier 2 </v>
      </c>
      <c r="O297" t="s">
        <v>1030</v>
      </c>
    </row>
    <row r="298" spans="1:15" x14ac:dyDescent="0.25">
      <c r="A298" t="s">
        <v>611</v>
      </c>
      <c r="B298" t="s">
        <v>612</v>
      </c>
      <c r="C298" t="s">
        <v>3</v>
      </c>
      <c r="D298" t="s">
        <v>4</v>
      </c>
      <c r="E298" t="s">
        <v>5</v>
      </c>
      <c r="F298">
        <v>2</v>
      </c>
      <c r="G298" t="b">
        <v>0</v>
      </c>
      <c r="H298" s="3">
        <v>2919</v>
      </c>
      <c r="I298" s="3">
        <v>35028</v>
      </c>
      <c r="J298">
        <v>7</v>
      </c>
      <c r="K298">
        <v>3.43</v>
      </c>
      <c r="L298">
        <v>40</v>
      </c>
      <c r="M298" t="s">
        <v>6</v>
      </c>
      <c r="N298" t="str">
        <f>IF(tblCustomer[[#This Row],[Monthly Revenue]]&gt;=30000, "Tier 1 ", IF(tblCustomer[[#This Row],[Monthly Revenue]]&gt;= 15000,"Tier 2 ","Tier 3 "))</f>
        <v xml:space="preserve">Tier 3 </v>
      </c>
      <c r="O298" t="s">
        <v>1029</v>
      </c>
    </row>
    <row r="299" spans="1:15" x14ac:dyDescent="0.25">
      <c r="A299" t="s">
        <v>613</v>
      </c>
      <c r="B299" t="s">
        <v>614</v>
      </c>
      <c r="C299" t="s">
        <v>27</v>
      </c>
      <c r="D299" t="s">
        <v>4</v>
      </c>
      <c r="E299" t="s">
        <v>28</v>
      </c>
      <c r="F299">
        <v>38</v>
      </c>
      <c r="G299" t="b">
        <v>0</v>
      </c>
      <c r="H299" s="3">
        <v>21022</v>
      </c>
      <c r="I299" s="3">
        <v>252264</v>
      </c>
      <c r="J299">
        <v>2</v>
      </c>
      <c r="K299">
        <v>1.5</v>
      </c>
      <c r="L299">
        <v>45</v>
      </c>
      <c r="M299" t="s">
        <v>6</v>
      </c>
      <c r="N299" t="str">
        <f>IF(tblCustomer[[#This Row],[Monthly Revenue]]&gt;=30000, "Tier 1 ", IF(tblCustomer[[#This Row],[Monthly Revenue]]&gt;= 15000,"Tier 2 ","Tier 3 "))</f>
        <v xml:space="preserve">Tier 2 </v>
      </c>
      <c r="O299" t="s">
        <v>1031</v>
      </c>
    </row>
    <row r="300" spans="1:15" x14ac:dyDescent="0.25">
      <c r="A300" t="s">
        <v>615</v>
      </c>
      <c r="B300" t="s">
        <v>616</v>
      </c>
      <c r="C300" t="s">
        <v>9</v>
      </c>
      <c r="D300" t="s">
        <v>4</v>
      </c>
      <c r="E300" t="s">
        <v>22</v>
      </c>
      <c r="F300">
        <v>22</v>
      </c>
      <c r="G300" t="b">
        <v>0</v>
      </c>
      <c r="H300" s="3">
        <v>24398</v>
      </c>
      <c r="I300" s="3">
        <v>292776</v>
      </c>
      <c r="J300">
        <v>2</v>
      </c>
      <c r="K300">
        <v>2</v>
      </c>
      <c r="L300">
        <v>15</v>
      </c>
      <c r="M300" t="s">
        <v>11</v>
      </c>
      <c r="N300" t="str">
        <f>IF(tblCustomer[[#This Row],[Monthly Revenue]]&gt;=30000, "Tier 1 ", IF(tblCustomer[[#This Row],[Monthly Revenue]]&gt;= 15000,"Tier 2 ","Tier 3 "))</f>
        <v xml:space="preserve">Tier 2 </v>
      </c>
      <c r="O300" t="s">
        <v>1029</v>
      </c>
    </row>
    <row r="301" spans="1:15" x14ac:dyDescent="0.25">
      <c r="A301" t="s">
        <v>617</v>
      </c>
      <c r="B301" t="s">
        <v>618</v>
      </c>
      <c r="C301" t="s">
        <v>17</v>
      </c>
      <c r="D301" t="s">
        <v>4</v>
      </c>
      <c r="E301" t="s">
        <v>5</v>
      </c>
      <c r="F301">
        <v>45</v>
      </c>
      <c r="G301" t="b">
        <v>1</v>
      </c>
      <c r="H301" s="3">
        <v>19402</v>
      </c>
      <c r="I301" s="3">
        <v>232824</v>
      </c>
      <c r="J301">
        <v>7</v>
      </c>
      <c r="K301">
        <v>1.57</v>
      </c>
      <c r="L301">
        <v>55</v>
      </c>
      <c r="M301" t="s">
        <v>6</v>
      </c>
      <c r="N301" t="str">
        <f>IF(tblCustomer[[#This Row],[Monthly Revenue]]&gt;=30000, "Tier 1 ", IF(tblCustomer[[#This Row],[Monthly Revenue]]&gt;= 15000,"Tier 2 ","Tier 3 "))</f>
        <v xml:space="preserve">Tier 2 </v>
      </c>
      <c r="O301" t="s">
        <v>1028</v>
      </c>
    </row>
    <row r="302" spans="1:15" x14ac:dyDescent="0.25">
      <c r="A302" t="s">
        <v>619</v>
      </c>
      <c r="B302" t="s">
        <v>620</v>
      </c>
      <c r="C302" t="s">
        <v>3</v>
      </c>
      <c r="D302" t="s">
        <v>4</v>
      </c>
      <c r="E302" t="s">
        <v>5</v>
      </c>
      <c r="F302">
        <v>4</v>
      </c>
      <c r="G302" t="b">
        <v>1</v>
      </c>
      <c r="H302" s="3">
        <v>28328</v>
      </c>
      <c r="I302" s="3">
        <v>339936</v>
      </c>
      <c r="J302">
        <v>4</v>
      </c>
      <c r="K302">
        <v>1</v>
      </c>
      <c r="L302">
        <v>30</v>
      </c>
      <c r="M302" t="s">
        <v>11</v>
      </c>
      <c r="N302" t="str">
        <f>IF(tblCustomer[[#This Row],[Monthly Revenue]]&gt;=30000, "Tier 1 ", IF(tblCustomer[[#This Row],[Monthly Revenue]]&gt;= 15000,"Tier 2 ","Tier 3 "))</f>
        <v xml:space="preserve">Tier 2 </v>
      </c>
      <c r="O302" t="s">
        <v>1031</v>
      </c>
    </row>
    <row r="303" spans="1:15" x14ac:dyDescent="0.25">
      <c r="A303" t="s">
        <v>621</v>
      </c>
      <c r="B303" t="s">
        <v>622</v>
      </c>
      <c r="C303" t="s">
        <v>17</v>
      </c>
      <c r="D303" t="s">
        <v>4</v>
      </c>
      <c r="E303" t="s">
        <v>22</v>
      </c>
      <c r="F303">
        <v>17</v>
      </c>
      <c r="G303" t="b">
        <v>0</v>
      </c>
      <c r="H303" s="3">
        <v>11390</v>
      </c>
      <c r="I303" s="3">
        <v>136680</v>
      </c>
      <c r="J303">
        <v>4</v>
      </c>
      <c r="K303">
        <v>0.75</v>
      </c>
      <c r="L303">
        <v>60</v>
      </c>
      <c r="M303" t="s">
        <v>19</v>
      </c>
      <c r="N303" t="str">
        <f>IF(tblCustomer[[#This Row],[Monthly Revenue]]&gt;=30000, "Tier 1 ", IF(tblCustomer[[#This Row],[Monthly Revenue]]&gt;= 15000,"Tier 2 ","Tier 3 "))</f>
        <v xml:space="preserve">Tier 3 </v>
      </c>
      <c r="O303" t="s">
        <v>1030</v>
      </c>
    </row>
    <row r="304" spans="1:15" x14ac:dyDescent="0.25">
      <c r="A304" t="s">
        <v>623</v>
      </c>
      <c r="B304" t="s">
        <v>624</v>
      </c>
      <c r="C304" t="s">
        <v>14</v>
      </c>
      <c r="D304" t="s">
        <v>4</v>
      </c>
      <c r="E304" t="s">
        <v>5</v>
      </c>
      <c r="F304">
        <v>34</v>
      </c>
      <c r="G304" t="b">
        <v>0</v>
      </c>
      <c r="H304" s="3">
        <v>8058</v>
      </c>
      <c r="I304" s="3">
        <v>96696</v>
      </c>
      <c r="J304">
        <v>8</v>
      </c>
      <c r="K304">
        <v>2.62</v>
      </c>
      <c r="L304">
        <v>50</v>
      </c>
      <c r="M304" t="s">
        <v>6</v>
      </c>
      <c r="N304" t="str">
        <f>IF(tblCustomer[[#This Row],[Monthly Revenue]]&gt;=30000, "Tier 1 ", IF(tblCustomer[[#This Row],[Monthly Revenue]]&gt;= 15000,"Tier 2 ","Tier 3 "))</f>
        <v xml:space="preserve">Tier 3 </v>
      </c>
      <c r="O304" t="s">
        <v>1031</v>
      </c>
    </row>
    <row r="305" spans="1:15" x14ac:dyDescent="0.25">
      <c r="A305" t="s">
        <v>625</v>
      </c>
      <c r="B305" t="s">
        <v>626</v>
      </c>
      <c r="C305" t="s">
        <v>9</v>
      </c>
      <c r="D305" t="s">
        <v>33</v>
      </c>
      <c r="E305" t="s">
        <v>28</v>
      </c>
      <c r="F305">
        <v>9</v>
      </c>
      <c r="G305" t="b">
        <v>0</v>
      </c>
      <c r="H305" s="3">
        <v>38191</v>
      </c>
      <c r="I305" s="3">
        <v>458292</v>
      </c>
      <c r="J305">
        <v>4</v>
      </c>
      <c r="K305">
        <v>3.5</v>
      </c>
      <c r="L305">
        <v>30</v>
      </c>
      <c r="M305" t="s">
        <v>11</v>
      </c>
      <c r="N305" t="str">
        <f>IF(tblCustomer[[#This Row],[Monthly Revenue]]&gt;=30000, "Tier 1 ", IF(tblCustomer[[#This Row],[Monthly Revenue]]&gt;= 15000,"Tier 2 ","Tier 3 "))</f>
        <v xml:space="preserve">Tier 1 </v>
      </c>
      <c r="O305" t="s">
        <v>1028</v>
      </c>
    </row>
    <row r="306" spans="1:15" x14ac:dyDescent="0.25">
      <c r="A306" t="s">
        <v>627</v>
      </c>
      <c r="B306" t="s">
        <v>628</v>
      </c>
      <c r="C306" t="s">
        <v>27</v>
      </c>
      <c r="D306" t="s">
        <v>4</v>
      </c>
      <c r="E306" t="s">
        <v>5</v>
      </c>
      <c r="F306">
        <v>19</v>
      </c>
      <c r="G306" t="b">
        <v>0</v>
      </c>
      <c r="H306" s="3">
        <v>13594</v>
      </c>
      <c r="I306" s="3">
        <v>163128</v>
      </c>
      <c r="J306">
        <v>4</v>
      </c>
      <c r="K306">
        <v>3.5</v>
      </c>
      <c r="L306">
        <v>0</v>
      </c>
      <c r="M306" t="s">
        <v>11</v>
      </c>
      <c r="N306" t="str">
        <f>IF(tblCustomer[[#This Row],[Monthly Revenue]]&gt;=30000, "Tier 1 ", IF(tblCustomer[[#This Row],[Monthly Revenue]]&gt;= 15000,"Tier 2 ","Tier 3 "))</f>
        <v xml:space="preserve">Tier 3 </v>
      </c>
      <c r="O306" t="s">
        <v>1028</v>
      </c>
    </row>
    <row r="307" spans="1:15" x14ac:dyDescent="0.25">
      <c r="A307" t="s">
        <v>629</v>
      </c>
      <c r="B307" t="s">
        <v>630</v>
      </c>
      <c r="C307" t="s">
        <v>17</v>
      </c>
      <c r="D307" t="s">
        <v>4</v>
      </c>
      <c r="E307" t="s">
        <v>28</v>
      </c>
      <c r="F307">
        <v>11</v>
      </c>
      <c r="G307" t="b">
        <v>0</v>
      </c>
      <c r="H307" s="3">
        <v>18168</v>
      </c>
      <c r="I307" s="3">
        <v>218016</v>
      </c>
      <c r="J307">
        <v>4</v>
      </c>
      <c r="K307">
        <v>3.5</v>
      </c>
      <c r="L307">
        <v>30</v>
      </c>
      <c r="M307" t="s">
        <v>11</v>
      </c>
      <c r="N307" t="str">
        <f>IF(tblCustomer[[#This Row],[Monthly Revenue]]&gt;=30000, "Tier 1 ", IF(tblCustomer[[#This Row],[Monthly Revenue]]&gt;= 15000,"Tier 2 ","Tier 3 "))</f>
        <v xml:space="preserve">Tier 2 </v>
      </c>
      <c r="O307" t="s">
        <v>1027</v>
      </c>
    </row>
    <row r="308" spans="1:15" x14ac:dyDescent="0.25">
      <c r="A308" t="s">
        <v>631</v>
      </c>
      <c r="B308" t="s">
        <v>632</v>
      </c>
      <c r="C308" t="s">
        <v>27</v>
      </c>
      <c r="D308" t="s">
        <v>4</v>
      </c>
      <c r="E308" t="s">
        <v>5</v>
      </c>
      <c r="F308">
        <v>28</v>
      </c>
      <c r="G308" t="b">
        <v>0</v>
      </c>
      <c r="H308" s="3">
        <v>33506</v>
      </c>
      <c r="I308" s="3">
        <v>402072</v>
      </c>
      <c r="J308">
        <v>4</v>
      </c>
      <c r="K308">
        <v>1</v>
      </c>
      <c r="L308">
        <v>60</v>
      </c>
      <c r="M308" t="s">
        <v>19</v>
      </c>
      <c r="N308" t="str">
        <f>IF(tblCustomer[[#This Row],[Monthly Revenue]]&gt;=30000, "Tier 1 ", IF(tblCustomer[[#This Row],[Monthly Revenue]]&gt;= 15000,"Tier 2 ","Tier 3 "))</f>
        <v xml:space="preserve">Tier 1 </v>
      </c>
      <c r="O308" t="s">
        <v>1029</v>
      </c>
    </row>
    <row r="309" spans="1:15" x14ac:dyDescent="0.25">
      <c r="A309" t="s">
        <v>633</v>
      </c>
      <c r="B309" t="s">
        <v>634</v>
      </c>
      <c r="C309" t="s">
        <v>3</v>
      </c>
      <c r="D309" t="s">
        <v>4</v>
      </c>
      <c r="E309" t="s">
        <v>28</v>
      </c>
      <c r="F309">
        <v>13</v>
      </c>
      <c r="G309" t="b">
        <v>0</v>
      </c>
      <c r="H309" s="3">
        <v>20039</v>
      </c>
      <c r="I309" s="3">
        <v>240468</v>
      </c>
      <c r="J309">
        <v>7</v>
      </c>
      <c r="K309">
        <v>2.57</v>
      </c>
      <c r="L309">
        <v>40</v>
      </c>
      <c r="M309" t="s">
        <v>6</v>
      </c>
      <c r="N309" t="str">
        <f>IF(tblCustomer[[#This Row],[Monthly Revenue]]&gt;=30000, "Tier 1 ", IF(tblCustomer[[#This Row],[Monthly Revenue]]&gt;= 15000,"Tier 2 ","Tier 3 "))</f>
        <v xml:space="preserve">Tier 2 </v>
      </c>
      <c r="O309" t="s">
        <v>1027</v>
      </c>
    </row>
    <row r="310" spans="1:15" x14ac:dyDescent="0.25">
      <c r="A310" t="s">
        <v>635</v>
      </c>
      <c r="B310" t="s">
        <v>636</v>
      </c>
      <c r="C310" t="s">
        <v>9</v>
      </c>
      <c r="D310" t="s">
        <v>4</v>
      </c>
      <c r="E310" t="s">
        <v>28</v>
      </c>
      <c r="F310">
        <v>11</v>
      </c>
      <c r="G310" t="b">
        <v>0</v>
      </c>
      <c r="H310" s="3">
        <v>30546</v>
      </c>
      <c r="I310" s="3">
        <v>366552</v>
      </c>
      <c r="J310">
        <v>5</v>
      </c>
      <c r="K310">
        <v>0.8</v>
      </c>
      <c r="L310">
        <v>70</v>
      </c>
      <c r="M310" t="s">
        <v>19</v>
      </c>
      <c r="N310" t="str">
        <f>IF(tblCustomer[[#This Row],[Monthly Revenue]]&gt;=30000, "Tier 1 ", IF(tblCustomer[[#This Row],[Monthly Revenue]]&gt;= 15000,"Tier 2 ","Tier 3 "))</f>
        <v xml:space="preserve">Tier 1 </v>
      </c>
      <c r="O310" t="s">
        <v>1029</v>
      </c>
    </row>
    <row r="311" spans="1:15" x14ac:dyDescent="0.25">
      <c r="A311" t="s">
        <v>637</v>
      </c>
      <c r="B311" t="s">
        <v>638</v>
      </c>
      <c r="C311" t="s">
        <v>9</v>
      </c>
      <c r="D311" t="s">
        <v>18</v>
      </c>
      <c r="E311" t="s">
        <v>5</v>
      </c>
      <c r="F311">
        <v>15</v>
      </c>
      <c r="G311" t="b">
        <v>0</v>
      </c>
      <c r="H311" s="3">
        <v>17493</v>
      </c>
      <c r="I311" s="3">
        <v>209916</v>
      </c>
      <c r="J311">
        <v>2</v>
      </c>
      <c r="K311">
        <v>0</v>
      </c>
      <c r="L311">
        <v>60</v>
      </c>
      <c r="M311" t="s">
        <v>19</v>
      </c>
      <c r="N311" t="str">
        <f>IF(tblCustomer[[#This Row],[Monthly Revenue]]&gt;=30000, "Tier 1 ", IF(tblCustomer[[#This Row],[Monthly Revenue]]&gt;= 15000,"Tier 2 ","Tier 3 "))</f>
        <v xml:space="preserve">Tier 2 </v>
      </c>
      <c r="O311" t="s">
        <v>1031</v>
      </c>
    </row>
    <row r="312" spans="1:15" x14ac:dyDescent="0.25">
      <c r="A312" t="s">
        <v>639</v>
      </c>
      <c r="B312" t="s">
        <v>640</v>
      </c>
      <c r="C312" t="s">
        <v>14</v>
      </c>
      <c r="D312" t="s">
        <v>4</v>
      </c>
      <c r="E312" t="s">
        <v>22</v>
      </c>
      <c r="F312">
        <v>3</v>
      </c>
      <c r="G312" t="b">
        <v>0</v>
      </c>
      <c r="H312" s="3">
        <v>6252</v>
      </c>
      <c r="I312" s="3">
        <v>75024</v>
      </c>
      <c r="J312">
        <v>7</v>
      </c>
      <c r="K312">
        <v>0.43</v>
      </c>
      <c r="L312">
        <v>40</v>
      </c>
      <c r="M312" t="s">
        <v>6</v>
      </c>
      <c r="N312" t="str">
        <f>IF(tblCustomer[[#This Row],[Monthly Revenue]]&gt;=30000, "Tier 1 ", IF(tblCustomer[[#This Row],[Monthly Revenue]]&gt;= 15000,"Tier 2 ","Tier 3 "))</f>
        <v xml:space="preserve">Tier 3 </v>
      </c>
      <c r="O312" t="s">
        <v>1031</v>
      </c>
    </row>
    <row r="313" spans="1:15" x14ac:dyDescent="0.25">
      <c r="A313" t="s">
        <v>641</v>
      </c>
      <c r="B313" t="s">
        <v>642</v>
      </c>
      <c r="C313" t="s">
        <v>17</v>
      </c>
      <c r="D313" t="s">
        <v>18</v>
      </c>
      <c r="E313" t="s">
        <v>28</v>
      </c>
      <c r="F313">
        <v>14</v>
      </c>
      <c r="G313" t="b">
        <v>0</v>
      </c>
      <c r="H313" s="3">
        <v>11852</v>
      </c>
      <c r="I313" s="3">
        <v>142224</v>
      </c>
      <c r="J313">
        <v>3</v>
      </c>
      <c r="K313">
        <v>1</v>
      </c>
      <c r="L313">
        <v>60</v>
      </c>
      <c r="M313" t="s">
        <v>19</v>
      </c>
      <c r="N313" t="str">
        <f>IF(tblCustomer[[#This Row],[Monthly Revenue]]&gt;=30000, "Tier 1 ", IF(tblCustomer[[#This Row],[Monthly Revenue]]&gt;= 15000,"Tier 2 ","Tier 3 "))</f>
        <v xml:space="preserve">Tier 3 </v>
      </c>
      <c r="O313" t="s">
        <v>1032</v>
      </c>
    </row>
    <row r="314" spans="1:15" x14ac:dyDescent="0.25">
      <c r="A314" t="s">
        <v>643</v>
      </c>
      <c r="B314" t="s">
        <v>644</v>
      </c>
      <c r="C314" t="s">
        <v>27</v>
      </c>
      <c r="D314" t="s">
        <v>4</v>
      </c>
      <c r="E314" t="s">
        <v>28</v>
      </c>
      <c r="F314">
        <v>1</v>
      </c>
      <c r="G314" t="b">
        <v>1</v>
      </c>
      <c r="H314" s="3">
        <v>24907</v>
      </c>
      <c r="I314" s="3">
        <v>298884</v>
      </c>
      <c r="J314">
        <v>5</v>
      </c>
      <c r="K314">
        <v>2.4</v>
      </c>
      <c r="L314">
        <v>25</v>
      </c>
      <c r="M314" t="s">
        <v>11</v>
      </c>
      <c r="N314" t="str">
        <f>IF(tblCustomer[[#This Row],[Monthly Revenue]]&gt;=30000, "Tier 1 ", IF(tblCustomer[[#This Row],[Monthly Revenue]]&gt;= 15000,"Tier 2 ","Tier 3 "))</f>
        <v xml:space="preserve">Tier 2 </v>
      </c>
      <c r="O314" t="s">
        <v>1031</v>
      </c>
    </row>
    <row r="315" spans="1:15" x14ac:dyDescent="0.25">
      <c r="A315" t="s">
        <v>645</v>
      </c>
      <c r="B315" t="s">
        <v>646</v>
      </c>
      <c r="C315" t="s">
        <v>27</v>
      </c>
      <c r="D315" t="s">
        <v>10</v>
      </c>
      <c r="E315" t="s">
        <v>5</v>
      </c>
      <c r="F315">
        <v>17</v>
      </c>
      <c r="G315" t="b">
        <v>0</v>
      </c>
      <c r="H315" s="3">
        <v>30524</v>
      </c>
      <c r="I315" s="3">
        <v>366288</v>
      </c>
      <c r="J315">
        <v>7</v>
      </c>
      <c r="K315">
        <v>2.57</v>
      </c>
      <c r="L315">
        <v>10</v>
      </c>
      <c r="M315" t="s">
        <v>11</v>
      </c>
      <c r="N315" t="str">
        <f>IF(tblCustomer[[#This Row],[Monthly Revenue]]&gt;=30000, "Tier 1 ", IF(tblCustomer[[#This Row],[Monthly Revenue]]&gt;= 15000,"Tier 2 ","Tier 3 "))</f>
        <v xml:space="preserve">Tier 1 </v>
      </c>
      <c r="O315" t="s">
        <v>1028</v>
      </c>
    </row>
    <row r="316" spans="1:15" x14ac:dyDescent="0.25">
      <c r="A316" t="s">
        <v>647</v>
      </c>
      <c r="B316" t="s">
        <v>648</v>
      </c>
      <c r="C316" t="s">
        <v>17</v>
      </c>
      <c r="D316" t="s">
        <v>4</v>
      </c>
      <c r="E316" t="s">
        <v>28</v>
      </c>
      <c r="F316">
        <v>21</v>
      </c>
      <c r="G316" t="b">
        <v>0</v>
      </c>
      <c r="H316" s="3">
        <v>12747</v>
      </c>
      <c r="I316" s="3">
        <v>152964</v>
      </c>
      <c r="J316">
        <v>9</v>
      </c>
      <c r="K316">
        <v>2.11</v>
      </c>
      <c r="L316">
        <v>65</v>
      </c>
      <c r="M316" t="s">
        <v>19</v>
      </c>
      <c r="N316" t="str">
        <f>IF(tblCustomer[[#This Row],[Monthly Revenue]]&gt;=30000, "Tier 1 ", IF(tblCustomer[[#This Row],[Monthly Revenue]]&gt;= 15000,"Tier 2 ","Tier 3 "))</f>
        <v xml:space="preserve">Tier 3 </v>
      </c>
      <c r="O316" t="s">
        <v>1029</v>
      </c>
    </row>
    <row r="317" spans="1:15" x14ac:dyDescent="0.25">
      <c r="A317" t="s">
        <v>649</v>
      </c>
      <c r="B317" t="s">
        <v>650</v>
      </c>
      <c r="C317" t="s">
        <v>3</v>
      </c>
      <c r="D317" t="s">
        <v>4</v>
      </c>
      <c r="E317" t="s">
        <v>5</v>
      </c>
      <c r="F317">
        <v>1</v>
      </c>
      <c r="G317" t="b">
        <v>0</v>
      </c>
      <c r="H317" s="3">
        <v>11902</v>
      </c>
      <c r="I317" s="3">
        <v>142824</v>
      </c>
      <c r="J317">
        <v>4</v>
      </c>
      <c r="K317">
        <v>3</v>
      </c>
      <c r="L317">
        <v>0</v>
      </c>
      <c r="M317" t="s">
        <v>11</v>
      </c>
      <c r="N317" t="str">
        <f>IF(tblCustomer[[#This Row],[Monthly Revenue]]&gt;=30000, "Tier 1 ", IF(tblCustomer[[#This Row],[Monthly Revenue]]&gt;= 15000,"Tier 2 ","Tier 3 "))</f>
        <v xml:space="preserve">Tier 3 </v>
      </c>
      <c r="O317" t="s">
        <v>1031</v>
      </c>
    </row>
    <row r="318" spans="1:15" x14ac:dyDescent="0.25">
      <c r="A318" t="s">
        <v>651</v>
      </c>
      <c r="B318" t="s">
        <v>652</v>
      </c>
      <c r="C318" t="s">
        <v>3</v>
      </c>
      <c r="D318" t="s">
        <v>18</v>
      </c>
      <c r="E318" t="s">
        <v>28</v>
      </c>
      <c r="F318">
        <v>41</v>
      </c>
      <c r="G318" t="b">
        <v>0</v>
      </c>
      <c r="H318" s="3">
        <v>35424</v>
      </c>
      <c r="I318" s="3">
        <v>425088</v>
      </c>
      <c r="J318">
        <v>3</v>
      </c>
      <c r="K318">
        <v>2.67</v>
      </c>
      <c r="L318">
        <v>0</v>
      </c>
      <c r="M318" t="s">
        <v>11</v>
      </c>
      <c r="N318" t="str">
        <f>IF(tblCustomer[[#This Row],[Monthly Revenue]]&gt;=30000, "Tier 1 ", IF(tblCustomer[[#This Row],[Monthly Revenue]]&gt;= 15000,"Tier 2 ","Tier 3 "))</f>
        <v xml:space="preserve">Tier 1 </v>
      </c>
      <c r="O318" t="s">
        <v>1028</v>
      </c>
    </row>
    <row r="319" spans="1:15" x14ac:dyDescent="0.25">
      <c r="A319" t="s">
        <v>653</v>
      </c>
      <c r="B319" t="s">
        <v>654</v>
      </c>
      <c r="C319" t="s">
        <v>17</v>
      </c>
      <c r="D319" t="s">
        <v>4</v>
      </c>
      <c r="E319" t="s">
        <v>28</v>
      </c>
      <c r="F319">
        <v>21</v>
      </c>
      <c r="G319" t="b">
        <v>0</v>
      </c>
      <c r="H319" s="3">
        <v>11825</v>
      </c>
      <c r="I319" s="3">
        <v>141900</v>
      </c>
      <c r="J319">
        <v>7</v>
      </c>
      <c r="K319">
        <v>1.86</v>
      </c>
      <c r="L319">
        <v>55</v>
      </c>
      <c r="M319" t="s">
        <v>6</v>
      </c>
      <c r="N319" t="str">
        <f>IF(tblCustomer[[#This Row],[Monthly Revenue]]&gt;=30000, "Tier 1 ", IF(tblCustomer[[#This Row],[Monthly Revenue]]&gt;= 15000,"Tier 2 ","Tier 3 "))</f>
        <v xml:space="preserve">Tier 3 </v>
      </c>
      <c r="O319" t="s">
        <v>1029</v>
      </c>
    </row>
    <row r="320" spans="1:15" x14ac:dyDescent="0.25">
      <c r="A320" t="s">
        <v>655</v>
      </c>
      <c r="B320" t="s">
        <v>656</v>
      </c>
      <c r="C320" t="s">
        <v>9</v>
      </c>
      <c r="D320" t="s">
        <v>4</v>
      </c>
      <c r="E320" t="s">
        <v>22</v>
      </c>
      <c r="F320">
        <v>10</v>
      </c>
      <c r="G320" t="b">
        <v>0</v>
      </c>
      <c r="H320" s="3">
        <v>10312</v>
      </c>
      <c r="I320" s="3">
        <v>123744</v>
      </c>
      <c r="J320">
        <v>1</v>
      </c>
      <c r="K320">
        <v>3</v>
      </c>
      <c r="L320">
        <v>0</v>
      </c>
      <c r="M320" t="s">
        <v>11</v>
      </c>
      <c r="N320" t="str">
        <f>IF(tblCustomer[[#This Row],[Monthly Revenue]]&gt;=30000, "Tier 1 ", IF(tblCustomer[[#This Row],[Monthly Revenue]]&gt;= 15000,"Tier 2 ","Tier 3 "))</f>
        <v xml:space="preserve">Tier 3 </v>
      </c>
      <c r="O320" t="s">
        <v>1032</v>
      </c>
    </row>
    <row r="321" spans="1:15" x14ac:dyDescent="0.25">
      <c r="A321" t="s">
        <v>657</v>
      </c>
      <c r="B321" t="s">
        <v>658</v>
      </c>
      <c r="C321" t="s">
        <v>3</v>
      </c>
      <c r="D321" t="s">
        <v>4</v>
      </c>
      <c r="E321" t="s">
        <v>22</v>
      </c>
      <c r="F321">
        <v>1</v>
      </c>
      <c r="G321" t="b">
        <v>0</v>
      </c>
      <c r="H321" s="3">
        <v>5142</v>
      </c>
      <c r="I321" s="3">
        <v>61704</v>
      </c>
      <c r="J321">
        <v>3</v>
      </c>
      <c r="K321">
        <v>1.67</v>
      </c>
      <c r="L321">
        <v>15</v>
      </c>
      <c r="M321" t="s">
        <v>11</v>
      </c>
      <c r="N321" t="str">
        <f>IF(tblCustomer[[#This Row],[Monthly Revenue]]&gt;=30000, "Tier 1 ", IF(tblCustomer[[#This Row],[Monthly Revenue]]&gt;= 15000,"Tier 2 ","Tier 3 "))</f>
        <v xml:space="preserve">Tier 3 </v>
      </c>
      <c r="O321" t="s">
        <v>1030</v>
      </c>
    </row>
    <row r="322" spans="1:15" x14ac:dyDescent="0.25">
      <c r="A322" t="s">
        <v>659</v>
      </c>
      <c r="B322" t="s">
        <v>660</v>
      </c>
      <c r="C322" t="s">
        <v>17</v>
      </c>
      <c r="D322" t="s">
        <v>18</v>
      </c>
      <c r="E322" t="s">
        <v>5</v>
      </c>
      <c r="F322">
        <v>1</v>
      </c>
      <c r="G322" t="b">
        <v>0</v>
      </c>
      <c r="H322" s="3">
        <v>3222</v>
      </c>
      <c r="I322" s="3">
        <v>38664</v>
      </c>
      <c r="J322">
        <v>3</v>
      </c>
      <c r="K322">
        <v>2</v>
      </c>
      <c r="L322">
        <v>45</v>
      </c>
      <c r="M322" t="s">
        <v>6</v>
      </c>
      <c r="N322" t="str">
        <f>IF(tblCustomer[[#This Row],[Monthly Revenue]]&gt;=30000, "Tier 1 ", IF(tblCustomer[[#This Row],[Monthly Revenue]]&gt;= 15000,"Tier 2 ","Tier 3 "))</f>
        <v xml:space="preserve">Tier 3 </v>
      </c>
      <c r="O322" t="s">
        <v>1032</v>
      </c>
    </row>
    <row r="323" spans="1:15" x14ac:dyDescent="0.25">
      <c r="A323" t="s">
        <v>661</v>
      </c>
      <c r="B323" t="s">
        <v>662</v>
      </c>
      <c r="C323" t="s">
        <v>14</v>
      </c>
      <c r="D323" t="s">
        <v>90</v>
      </c>
      <c r="E323" t="s">
        <v>22</v>
      </c>
      <c r="F323">
        <v>9</v>
      </c>
      <c r="G323" t="b">
        <v>0</v>
      </c>
      <c r="H323" s="3">
        <v>11003</v>
      </c>
      <c r="I323" s="3">
        <v>132036</v>
      </c>
      <c r="J323">
        <v>5</v>
      </c>
      <c r="K323">
        <v>3.6</v>
      </c>
      <c r="L323">
        <v>40</v>
      </c>
      <c r="M323" t="s">
        <v>6</v>
      </c>
      <c r="N323" t="str">
        <f>IF(tblCustomer[[#This Row],[Monthly Revenue]]&gt;=30000, "Tier 1 ", IF(tblCustomer[[#This Row],[Monthly Revenue]]&gt;= 15000,"Tier 2 ","Tier 3 "))</f>
        <v xml:space="preserve">Tier 3 </v>
      </c>
      <c r="O323" t="s">
        <v>1027</v>
      </c>
    </row>
    <row r="324" spans="1:15" x14ac:dyDescent="0.25">
      <c r="A324" t="s">
        <v>663</v>
      </c>
      <c r="B324" t="s">
        <v>664</v>
      </c>
      <c r="C324" t="s">
        <v>9</v>
      </c>
      <c r="D324" t="s">
        <v>4</v>
      </c>
      <c r="E324" t="s">
        <v>28</v>
      </c>
      <c r="F324">
        <v>25</v>
      </c>
      <c r="G324" t="b">
        <v>0</v>
      </c>
      <c r="H324" s="3">
        <v>18147</v>
      </c>
      <c r="I324" s="3">
        <v>217764</v>
      </c>
      <c r="J324">
        <v>1</v>
      </c>
      <c r="K324">
        <v>5</v>
      </c>
      <c r="L324">
        <v>30</v>
      </c>
      <c r="M324" t="s">
        <v>11</v>
      </c>
      <c r="N324" t="str">
        <f>IF(tblCustomer[[#This Row],[Monthly Revenue]]&gt;=30000, "Tier 1 ", IF(tblCustomer[[#This Row],[Monthly Revenue]]&gt;= 15000,"Tier 2 ","Tier 3 "))</f>
        <v xml:space="preserve">Tier 2 </v>
      </c>
      <c r="O324" t="s">
        <v>1028</v>
      </c>
    </row>
    <row r="325" spans="1:15" x14ac:dyDescent="0.25">
      <c r="A325" t="s">
        <v>665</v>
      </c>
      <c r="B325" t="s">
        <v>666</v>
      </c>
      <c r="C325" t="s">
        <v>27</v>
      </c>
      <c r="D325" t="s">
        <v>18</v>
      </c>
      <c r="E325" t="s">
        <v>22</v>
      </c>
      <c r="F325">
        <v>12</v>
      </c>
      <c r="G325" t="b">
        <v>0</v>
      </c>
      <c r="H325" s="3">
        <v>13107</v>
      </c>
      <c r="I325" s="3">
        <v>157284</v>
      </c>
      <c r="J325">
        <v>2</v>
      </c>
      <c r="K325">
        <v>2.5</v>
      </c>
      <c r="L325">
        <v>30</v>
      </c>
      <c r="M325" t="s">
        <v>11</v>
      </c>
      <c r="N325" t="str">
        <f>IF(tblCustomer[[#This Row],[Monthly Revenue]]&gt;=30000, "Tier 1 ", IF(tblCustomer[[#This Row],[Monthly Revenue]]&gt;= 15000,"Tier 2 ","Tier 3 "))</f>
        <v xml:space="preserve">Tier 3 </v>
      </c>
      <c r="O325" t="s">
        <v>1027</v>
      </c>
    </row>
    <row r="326" spans="1:15" x14ac:dyDescent="0.25">
      <c r="A326" t="s">
        <v>667</v>
      </c>
      <c r="B326" t="s">
        <v>668</v>
      </c>
      <c r="C326" t="s">
        <v>27</v>
      </c>
      <c r="D326" t="s">
        <v>4</v>
      </c>
      <c r="E326" t="s">
        <v>22</v>
      </c>
      <c r="F326">
        <v>26</v>
      </c>
      <c r="G326" t="b">
        <v>1</v>
      </c>
      <c r="H326" s="3">
        <v>13028</v>
      </c>
      <c r="I326" s="3">
        <v>156336</v>
      </c>
      <c r="J326">
        <v>3</v>
      </c>
      <c r="K326">
        <v>2.67</v>
      </c>
      <c r="L326">
        <v>30</v>
      </c>
      <c r="M326" t="s">
        <v>11</v>
      </c>
      <c r="N326" t="str">
        <f>IF(tblCustomer[[#This Row],[Monthly Revenue]]&gt;=30000, "Tier 1 ", IF(tblCustomer[[#This Row],[Monthly Revenue]]&gt;= 15000,"Tier 2 ","Tier 3 "))</f>
        <v xml:space="preserve">Tier 3 </v>
      </c>
      <c r="O326" t="s">
        <v>1027</v>
      </c>
    </row>
    <row r="327" spans="1:15" x14ac:dyDescent="0.25">
      <c r="A327" t="s">
        <v>669</v>
      </c>
      <c r="B327" t="s">
        <v>670</v>
      </c>
      <c r="C327" t="s">
        <v>14</v>
      </c>
      <c r="D327" t="s">
        <v>4</v>
      </c>
      <c r="E327" t="s">
        <v>5</v>
      </c>
      <c r="F327">
        <v>6</v>
      </c>
      <c r="G327" t="b">
        <v>1</v>
      </c>
      <c r="H327" s="3">
        <v>16351</v>
      </c>
      <c r="I327" s="3">
        <v>196212</v>
      </c>
      <c r="J327">
        <v>4</v>
      </c>
      <c r="K327">
        <v>2</v>
      </c>
      <c r="L327">
        <v>15</v>
      </c>
      <c r="M327" t="s">
        <v>11</v>
      </c>
      <c r="N327" t="str">
        <f>IF(tblCustomer[[#This Row],[Monthly Revenue]]&gt;=30000, "Tier 1 ", IF(tblCustomer[[#This Row],[Monthly Revenue]]&gt;= 15000,"Tier 2 ","Tier 3 "))</f>
        <v xml:space="preserve">Tier 2 </v>
      </c>
      <c r="O327" t="s">
        <v>1032</v>
      </c>
    </row>
    <row r="328" spans="1:15" x14ac:dyDescent="0.25">
      <c r="A328" t="s">
        <v>671</v>
      </c>
      <c r="B328" t="s">
        <v>672</v>
      </c>
      <c r="C328" t="s">
        <v>3</v>
      </c>
      <c r="D328" t="s">
        <v>4</v>
      </c>
      <c r="E328" t="s">
        <v>28</v>
      </c>
      <c r="F328">
        <v>13</v>
      </c>
      <c r="G328" t="b">
        <v>0</v>
      </c>
      <c r="H328" s="3">
        <v>29320</v>
      </c>
      <c r="I328" s="3">
        <v>351840</v>
      </c>
      <c r="J328">
        <v>2</v>
      </c>
      <c r="K328">
        <v>2.5</v>
      </c>
      <c r="L328">
        <v>30</v>
      </c>
      <c r="M328" t="s">
        <v>11</v>
      </c>
      <c r="N328" t="str">
        <f>IF(tblCustomer[[#This Row],[Monthly Revenue]]&gt;=30000, "Tier 1 ", IF(tblCustomer[[#This Row],[Monthly Revenue]]&gt;= 15000,"Tier 2 ","Tier 3 "))</f>
        <v xml:space="preserve">Tier 2 </v>
      </c>
      <c r="O328" t="s">
        <v>1029</v>
      </c>
    </row>
    <row r="329" spans="1:15" x14ac:dyDescent="0.25">
      <c r="A329" t="s">
        <v>673</v>
      </c>
      <c r="B329" t="s">
        <v>674</v>
      </c>
      <c r="C329" t="s">
        <v>14</v>
      </c>
      <c r="D329" t="s">
        <v>4</v>
      </c>
      <c r="E329" t="s">
        <v>28</v>
      </c>
      <c r="F329">
        <v>29</v>
      </c>
      <c r="G329" t="b">
        <v>1</v>
      </c>
      <c r="H329" s="3">
        <v>18132</v>
      </c>
      <c r="I329" s="3">
        <v>217584</v>
      </c>
      <c r="J329">
        <v>7</v>
      </c>
      <c r="K329">
        <v>1.57</v>
      </c>
      <c r="L329">
        <v>25</v>
      </c>
      <c r="M329" t="s">
        <v>11</v>
      </c>
      <c r="N329" t="str">
        <f>IF(tblCustomer[[#This Row],[Monthly Revenue]]&gt;=30000, "Tier 1 ", IF(tblCustomer[[#This Row],[Monthly Revenue]]&gt;= 15000,"Tier 2 ","Tier 3 "))</f>
        <v xml:space="preserve">Tier 2 </v>
      </c>
      <c r="O329" t="s">
        <v>1028</v>
      </c>
    </row>
    <row r="330" spans="1:15" x14ac:dyDescent="0.25">
      <c r="A330" t="s">
        <v>675</v>
      </c>
      <c r="B330" t="s">
        <v>676</v>
      </c>
      <c r="C330" t="s">
        <v>14</v>
      </c>
      <c r="D330" t="s">
        <v>18</v>
      </c>
      <c r="E330" t="s">
        <v>5</v>
      </c>
      <c r="F330">
        <v>26</v>
      </c>
      <c r="G330" t="b">
        <v>0</v>
      </c>
      <c r="H330" s="3">
        <v>15181</v>
      </c>
      <c r="I330" s="3">
        <v>182172</v>
      </c>
      <c r="J330">
        <v>5</v>
      </c>
      <c r="K330">
        <v>1.6</v>
      </c>
      <c r="L330">
        <v>55</v>
      </c>
      <c r="M330" t="s">
        <v>6</v>
      </c>
      <c r="N330" t="str">
        <f>IF(tblCustomer[[#This Row],[Monthly Revenue]]&gt;=30000, "Tier 1 ", IF(tblCustomer[[#This Row],[Monthly Revenue]]&gt;= 15000,"Tier 2 ","Tier 3 "))</f>
        <v xml:space="preserve">Tier 2 </v>
      </c>
      <c r="O330" t="s">
        <v>1031</v>
      </c>
    </row>
    <row r="331" spans="1:15" x14ac:dyDescent="0.25">
      <c r="A331" t="s">
        <v>677</v>
      </c>
      <c r="B331" t="s">
        <v>678</v>
      </c>
      <c r="C331" t="s">
        <v>17</v>
      </c>
      <c r="D331" t="s">
        <v>4</v>
      </c>
      <c r="E331" t="s">
        <v>22</v>
      </c>
      <c r="F331">
        <v>11</v>
      </c>
      <c r="G331" t="b">
        <v>0</v>
      </c>
      <c r="H331" s="3">
        <v>15081</v>
      </c>
      <c r="I331" s="3">
        <v>180972</v>
      </c>
      <c r="J331">
        <v>4</v>
      </c>
      <c r="K331">
        <v>3</v>
      </c>
      <c r="L331">
        <v>30</v>
      </c>
      <c r="M331" t="s">
        <v>11</v>
      </c>
      <c r="N331" t="str">
        <f>IF(tblCustomer[[#This Row],[Monthly Revenue]]&gt;=30000, "Tier 1 ", IF(tblCustomer[[#This Row],[Monthly Revenue]]&gt;= 15000,"Tier 2 ","Tier 3 "))</f>
        <v xml:space="preserve">Tier 2 </v>
      </c>
      <c r="O331" t="s">
        <v>1032</v>
      </c>
    </row>
    <row r="332" spans="1:15" x14ac:dyDescent="0.25">
      <c r="A332" t="s">
        <v>679</v>
      </c>
      <c r="B332" t="s">
        <v>680</v>
      </c>
      <c r="C332" t="s">
        <v>3</v>
      </c>
      <c r="D332" t="s">
        <v>4</v>
      </c>
      <c r="E332" t="s">
        <v>5</v>
      </c>
      <c r="F332">
        <v>32</v>
      </c>
      <c r="G332" t="b">
        <v>0</v>
      </c>
      <c r="H332" s="3">
        <v>32574</v>
      </c>
      <c r="I332" s="3">
        <v>390888</v>
      </c>
      <c r="J332">
        <v>3</v>
      </c>
      <c r="K332">
        <v>2.33</v>
      </c>
      <c r="L332">
        <v>45</v>
      </c>
      <c r="M332" t="s">
        <v>6</v>
      </c>
      <c r="N332" t="str">
        <f>IF(tblCustomer[[#This Row],[Monthly Revenue]]&gt;=30000, "Tier 1 ", IF(tblCustomer[[#This Row],[Monthly Revenue]]&gt;= 15000,"Tier 2 ","Tier 3 "))</f>
        <v xml:space="preserve">Tier 1 </v>
      </c>
      <c r="O332" t="s">
        <v>1028</v>
      </c>
    </row>
    <row r="333" spans="1:15" x14ac:dyDescent="0.25">
      <c r="A333" t="s">
        <v>681</v>
      </c>
      <c r="B333" t="s">
        <v>682</v>
      </c>
      <c r="C333" t="s">
        <v>14</v>
      </c>
      <c r="D333" t="s">
        <v>4</v>
      </c>
      <c r="E333" t="s">
        <v>5</v>
      </c>
      <c r="F333">
        <v>17</v>
      </c>
      <c r="G333" t="b">
        <v>1</v>
      </c>
      <c r="H333" s="3">
        <v>42999</v>
      </c>
      <c r="I333" s="3">
        <v>515988</v>
      </c>
      <c r="J333">
        <v>6</v>
      </c>
      <c r="K333">
        <v>2.67</v>
      </c>
      <c r="L333">
        <v>40</v>
      </c>
      <c r="M333" t="s">
        <v>6</v>
      </c>
      <c r="N333" t="str">
        <f>IF(tblCustomer[[#This Row],[Monthly Revenue]]&gt;=30000, "Tier 1 ", IF(tblCustomer[[#This Row],[Monthly Revenue]]&gt;= 15000,"Tier 2 ","Tier 3 "))</f>
        <v xml:space="preserve">Tier 1 </v>
      </c>
      <c r="O333" t="s">
        <v>1031</v>
      </c>
    </row>
    <row r="334" spans="1:15" x14ac:dyDescent="0.25">
      <c r="A334" t="s">
        <v>683</v>
      </c>
      <c r="B334" t="s">
        <v>684</v>
      </c>
      <c r="C334" t="s">
        <v>27</v>
      </c>
      <c r="D334" t="s">
        <v>33</v>
      </c>
      <c r="E334" t="s">
        <v>22</v>
      </c>
      <c r="F334">
        <v>49</v>
      </c>
      <c r="G334" t="b">
        <v>0</v>
      </c>
      <c r="H334" s="3">
        <v>26705</v>
      </c>
      <c r="I334" s="3">
        <v>320460</v>
      </c>
      <c r="J334">
        <v>4</v>
      </c>
      <c r="K334">
        <v>1</v>
      </c>
      <c r="L334">
        <v>60</v>
      </c>
      <c r="M334" t="s">
        <v>19</v>
      </c>
      <c r="N334" t="str">
        <f>IF(tblCustomer[[#This Row],[Monthly Revenue]]&gt;=30000, "Tier 1 ", IF(tblCustomer[[#This Row],[Monthly Revenue]]&gt;= 15000,"Tier 2 ","Tier 3 "))</f>
        <v xml:space="preserve">Tier 2 </v>
      </c>
      <c r="O334" t="s">
        <v>1028</v>
      </c>
    </row>
    <row r="335" spans="1:15" x14ac:dyDescent="0.25">
      <c r="A335" t="s">
        <v>685</v>
      </c>
      <c r="B335" t="s">
        <v>686</v>
      </c>
      <c r="C335" t="s">
        <v>17</v>
      </c>
      <c r="D335" t="s">
        <v>4</v>
      </c>
      <c r="E335" t="s">
        <v>22</v>
      </c>
      <c r="F335">
        <v>11</v>
      </c>
      <c r="G335" t="b">
        <v>0</v>
      </c>
      <c r="H335" s="3">
        <v>10945</v>
      </c>
      <c r="I335" s="3">
        <v>131340</v>
      </c>
      <c r="J335">
        <v>2</v>
      </c>
      <c r="K335">
        <v>0</v>
      </c>
      <c r="L335">
        <v>30</v>
      </c>
      <c r="M335" t="s">
        <v>11</v>
      </c>
      <c r="N335" t="str">
        <f>IF(tblCustomer[[#This Row],[Monthly Revenue]]&gt;=30000, "Tier 1 ", IF(tblCustomer[[#This Row],[Monthly Revenue]]&gt;= 15000,"Tier 2 ","Tier 3 "))</f>
        <v xml:space="preserve">Tier 3 </v>
      </c>
      <c r="O335" t="s">
        <v>1027</v>
      </c>
    </row>
    <row r="336" spans="1:15" x14ac:dyDescent="0.25">
      <c r="A336" t="s">
        <v>687</v>
      </c>
      <c r="B336" t="s">
        <v>688</v>
      </c>
      <c r="C336" t="s">
        <v>17</v>
      </c>
      <c r="D336" t="s">
        <v>4</v>
      </c>
      <c r="E336" t="s">
        <v>5</v>
      </c>
      <c r="F336">
        <v>41</v>
      </c>
      <c r="G336" t="b">
        <v>0</v>
      </c>
      <c r="H336" s="3">
        <v>30688</v>
      </c>
      <c r="I336" s="3">
        <v>368256</v>
      </c>
      <c r="J336">
        <v>2</v>
      </c>
      <c r="K336">
        <v>3</v>
      </c>
      <c r="L336">
        <v>30</v>
      </c>
      <c r="M336" t="s">
        <v>11</v>
      </c>
      <c r="N336" t="str">
        <f>IF(tblCustomer[[#This Row],[Monthly Revenue]]&gt;=30000, "Tier 1 ", IF(tblCustomer[[#This Row],[Monthly Revenue]]&gt;= 15000,"Tier 2 ","Tier 3 "))</f>
        <v xml:space="preserve">Tier 1 </v>
      </c>
      <c r="O336" t="s">
        <v>1030</v>
      </c>
    </row>
    <row r="337" spans="1:15" x14ac:dyDescent="0.25">
      <c r="A337" t="s">
        <v>689</v>
      </c>
      <c r="B337" t="s">
        <v>690</v>
      </c>
      <c r="C337" t="s">
        <v>17</v>
      </c>
      <c r="D337" t="s">
        <v>33</v>
      </c>
      <c r="E337" t="s">
        <v>22</v>
      </c>
      <c r="F337">
        <v>21</v>
      </c>
      <c r="G337" t="b">
        <v>0</v>
      </c>
      <c r="H337" s="3">
        <v>16520</v>
      </c>
      <c r="I337" s="3">
        <v>198240</v>
      </c>
      <c r="J337">
        <v>2</v>
      </c>
      <c r="K337">
        <v>3</v>
      </c>
      <c r="L337">
        <v>0</v>
      </c>
      <c r="M337" t="s">
        <v>11</v>
      </c>
      <c r="N337" t="str">
        <f>IF(tblCustomer[[#This Row],[Monthly Revenue]]&gt;=30000, "Tier 1 ", IF(tblCustomer[[#This Row],[Monthly Revenue]]&gt;= 15000,"Tier 2 ","Tier 3 "))</f>
        <v xml:space="preserve">Tier 2 </v>
      </c>
      <c r="O337" t="s">
        <v>1031</v>
      </c>
    </row>
    <row r="338" spans="1:15" x14ac:dyDescent="0.25">
      <c r="A338" t="s">
        <v>691</v>
      </c>
      <c r="B338" t="s">
        <v>692</v>
      </c>
      <c r="C338" t="s">
        <v>3</v>
      </c>
      <c r="D338" t="s">
        <v>4</v>
      </c>
      <c r="E338" t="s">
        <v>28</v>
      </c>
      <c r="F338">
        <v>5</v>
      </c>
      <c r="G338" t="b">
        <v>0</v>
      </c>
      <c r="H338" s="3">
        <v>15217</v>
      </c>
      <c r="I338" s="3">
        <v>182604</v>
      </c>
      <c r="J338">
        <v>7</v>
      </c>
      <c r="K338">
        <v>3</v>
      </c>
      <c r="L338">
        <v>40</v>
      </c>
      <c r="M338" t="s">
        <v>6</v>
      </c>
      <c r="N338" t="str">
        <f>IF(tblCustomer[[#This Row],[Monthly Revenue]]&gt;=30000, "Tier 1 ", IF(tblCustomer[[#This Row],[Monthly Revenue]]&gt;= 15000,"Tier 2 ","Tier 3 "))</f>
        <v xml:space="preserve">Tier 2 </v>
      </c>
      <c r="O338" t="s">
        <v>1031</v>
      </c>
    </row>
    <row r="339" spans="1:15" x14ac:dyDescent="0.25">
      <c r="A339" t="s">
        <v>693</v>
      </c>
      <c r="B339" t="s">
        <v>694</v>
      </c>
      <c r="C339" t="s">
        <v>27</v>
      </c>
      <c r="D339" t="s">
        <v>10</v>
      </c>
      <c r="E339" t="s">
        <v>5</v>
      </c>
      <c r="F339">
        <v>87</v>
      </c>
      <c r="G339" t="b">
        <v>1</v>
      </c>
      <c r="H339" s="3">
        <v>87957</v>
      </c>
      <c r="I339" s="3">
        <v>1055484</v>
      </c>
      <c r="J339">
        <v>4</v>
      </c>
      <c r="K339">
        <v>1</v>
      </c>
      <c r="L339">
        <v>60</v>
      </c>
      <c r="M339" t="s">
        <v>19</v>
      </c>
      <c r="N339" t="str">
        <f>IF(tblCustomer[[#This Row],[Monthly Revenue]]&gt;=30000, "Tier 1 ", IF(tblCustomer[[#This Row],[Monthly Revenue]]&gt;= 15000,"Tier 2 ","Tier 3 "))</f>
        <v xml:space="preserve">Tier 1 </v>
      </c>
      <c r="O339" t="s">
        <v>1030</v>
      </c>
    </row>
    <row r="340" spans="1:15" x14ac:dyDescent="0.25">
      <c r="A340" t="s">
        <v>695</v>
      </c>
      <c r="B340" t="s">
        <v>696</v>
      </c>
      <c r="C340" t="s">
        <v>9</v>
      </c>
      <c r="D340" t="s">
        <v>4</v>
      </c>
      <c r="E340" t="s">
        <v>5</v>
      </c>
      <c r="F340">
        <v>24</v>
      </c>
      <c r="G340" t="b">
        <v>1</v>
      </c>
      <c r="H340" s="3">
        <v>28558</v>
      </c>
      <c r="I340" s="3">
        <v>342696</v>
      </c>
      <c r="J340">
        <v>3</v>
      </c>
      <c r="K340">
        <v>3.33</v>
      </c>
      <c r="L340">
        <v>0</v>
      </c>
      <c r="M340" t="s">
        <v>11</v>
      </c>
      <c r="N340" t="str">
        <f>IF(tblCustomer[[#This Row],[Monthly Revenue]]&gt;=30000, "Tier 1 ", IF(tblCustomer[[#This Row],[Monthly Revenue]]&gt;= 15000,"Tier 2 ","Tier 3 "))</f>
        <v xml:space="preserve">Tier 2 </v>
      </c>
      <c r="O340" t="s">
        <v>1031</v>
      </c>
    </row>
    <row r="341" spans="1:15" x14ac:dyDescent="0.25">
      <c r="A341" t="s">
        <v>697</v>
      </c>
      <c r="B341" t="s">
        <v>698</v>
      </c>
      <c r="C341" t="s">
        <v>17</v>
      </c>
      <c r="D341" t="s">
        <v>90</v>
      </c>
      <c r="E341" t="s">
        <v>28</v>
      </c>
      <c r="F341">
        <v>16</v>
      </c>
      <c r="G341" t="b">
        <v>1</v>
      </c>
      <c r="H341" s="3">
        <v>4812</v>
      </c>
      <c r="I341" s="3">
        <v>57744</v>
      </c>
      <c r="J341">
        <v>4</v>
      </c>
      <c r="K341">
        <v>1.25</v>
      </c>
      <c r="L341">
        <v>60</v>
      </c>
      <c r="M341" t="s">
        <v>19</v>
      </c>
      <c r="N341" t="str">
        <f>IF(tblCustomer[[#This Row],[Monthly Revenue]]&gt;=30000, "Tier 1 ", IF(tblCustomer[[#This Row],[Monthly Revenue]]&gt;= 15000,"Tier 2 ","Tier 3 "))</f>
        <v xml:space="preserve">Tier 3 </v>
      </c>
      <c r="O341" t="s">
        <v>1032</v>
      </c>
    </row>
    <row r="342" spans="1:15" x14ac:dyDescent="0.25">
      <c r="A342" t="s">
        <v>699</v>
      </c>
      <c r="B342" t="s">
        <v>700</v>
      </c>
      <c r="C342" t="s">
        <v>17</v>
      </c>
      <c r="D342" t="s">
        <v>4</v>
      </c>
      <c r="E342" t="s">
        <v>5</v>
      </c>
      <c r="F342">
        <v>23</v>
      </c>
      <c r="G342" t="b">
        <v>0</v>
      </c>
      <c r="H342" s="3">
        <v>7452</v>
      </c>
      <c r="I342" s="3">
        <v>89424</v>
      </c>
      <c r="J342">
        <v>11</v>
      </c>
      <c r="K342">
        <v>2.64</v>
      </c>
      <c r="L342">
        <v>50</v>
      </c>
      <c r="M342" t="s">
        <v>6</v>
      </c>
      <c r="N342" t="str">
        <f>IF(tblCustomer[[#This Row],[Monthly Revenue]]&gt;=30000, "Tier 1 ", IF(tblCustomer[[#This Row],[Monthly Revenue]]&gt;= 15000,"Tier 2 ","Tier 3 "))</f>
        <v xml:space="preserve">Tier 3 </v>
      </c>
      <c r="O342" t="s">
        <v>1028</v>
      </c>
    </row>
    <row r="343" spans="1:15" x14ac:dyDescent="0.25">
      <c r="A343" t="s">
        <v>701</v>
      </c>
      <c r="B343" t="s">
        <v>702</v>
      </c>
      <c r="C343" t="s">
        <v>9</v>
      </c>
      <c r="D343" t="s">
        <v>71</v>
      </c>
      <c r="E343" t="s">
        <v>22</v>
      </c>
      <c r="F343">
        <v>70</v>
      </c>
      <c r="G343" t="b">
        <v>0</v>
      </c>
      <c r="H343" s="3">
        <v>70000</v>
      </c>
      <c r="I343" s="3">
        <v>840000</v>
      </c>
      <c r="J343">
        <v>4</v>
      </c>
      <c r="K343">
        <v>3.75</v>
      </c>
      <c r="L343">
        <v>30</v>
      </c>
      <c r="M343" t="s">
        <v>11</v>
      </c>
      <c r="N343" t="str">
        <f>IF(tblCustomer[[#This Row],[Monthly Revenue]]&gt;=30000, "Tier 1 ", IF(tblCustomer[[#This Row],[Monthly Revenue]]&gt;= 15000,"Tier 2 ","Tier 3 "))</f>
        <v xml:space="preserve">Tier 1 </v>
      </c>
      <c r="O343" t="s">
        <v>1027</v>
      </c>
    </row>
    <row r="344" spans="1:15" x14ac:dyDescent="0.25">
      <c r="A344" t="s">
        <v>703</v>
      </c>
      <c r="B344" t="s">
        <v>704</v>
      </c>
      <c r="C344" t="s">
        <v>27</v>
      </c>
      <c r="D344" t="s">
        <v>4</v>
      </c>
      <c r="E344" t="s">
        <v>22</v>
      </c>
      <c r="F344">
        <v>39</v>
      </c>
      <c r="G344" t="b">
        <v>0</v>
      </c>
      <c r="H344" s="3">
        <v>30426</v>
      </c>
      <c r="I344" s="3">
        <v>365112</v>
      </c>
      <c r="J344">
        <v>3</v>
      </c>
      <c r="K344">
        <v>3.33</v>
      </c>
      <c r="L344">
        <v>30</v>
      </c>
      <c r="M344" t="s">
        <v>11</v>
      </c>
      <c r="N344" t="str">
        <f>IF(tblCustomer[[#This Row],[Monthly Revenue]]&gt;=30000, "Tier 1 ", IF(tblCustomer[[#This Row],[Monthly Revenue]]&gt;= 15000,"Tier 2 ","Tier 3 "))</f>
        <v xml:space="preserve">Tier 1 </v>
      </c>
      <c r="O344" t="s">
        <v>1029</v>
      </c>
    </row>
    <row r="345" spans="1:15" x14ac:dyDescent="0.25">
      <c r="A345" t="s">
        <v>705</v>
      </c>
      <c r="B345" t="s">
        <v>706</v>
      </c>
      <c r="C345" t="s">
        <v>3</v>
      </c>
      <c r="D345" t="s">
        <v>4</v>
      </c>
      <c r="E345" t="s">
        <v>28</v>
      </c>
      <c r="F345">
        <v>35</v>
      </c>
      <c r="G345" t="b">
        <v>0</v>
      </c>
      <c r="H345" s="3">
        <v>12390</v>
      </c>
      <c r="I345" s="3">
        <v>148680</v>
      </c>
      <c r="J345">
        <v>6</v>
      </c>
      <c r="K345">
        <v>3.5</v>
      </c>
      <c r="L345">
        <v>10</v>
      </c>
      <c r="M345" t="s">
        <v>11</v>
      </c>
      <c r="N345" t="str">
        <f>IF(tblCustomer[[#This Row],[Monthly Revenue]]&gt;=30000, "Tier 1 ", IF(tblCustomer[[#This Row],[Monthly Revenue]]&gt;= 15000,"Tier 2 ","Tier 3 "))</f>
        <v xml:space="preserve">Tier 3 </v>
      </c>
      <c r="O345" t="s">
        <v>1032</v>
      </c>
    </row>
    <row r="346" spans="1:15" x14ac:dyDescent="0.25">
      <c r="A346" t="s">
        <v>707</v>
      </c>
      <c r="B346" t="s">
        <v>708</v>
      </c>
      <c r="C346" t="s">
        <v>17</v>
      </c>
      <c r="D346" t="s">
        <v>4</v>
      </c>
      <c r="E346" t="s">
        <v>5</v>
      </c>
      <c r="F346">
        <v>5</v>
      </c>
      <c r="G346" t="b">
        <v>1</v>
      </c>
      <c r="H346" s="3">
        <v>5375</v>
      </c>
      <c r="I346" s="3">
        <v>64500</v>
      </c>
      <c r="J346">
        <v>1</v>
      </c>
      <c r="K346">
        <v>0</v>
      </c>
      <c r="L346">
        <v>60</v>
      </c>
      <c r="M346" t="s">
        <v>19</v>
      </c>
      <c r="N346" t="str">
        <f>IF(tblCustomer[[#This Row],[Monthly Revenue]]&gt;=30000, "Tier 1 ", IF(tblCustomer[[#This Row],[Monthly Revenue]]&gt;= 15000,"Tier 2 ","Tier 3 "))</f>
        <v xml:space="preserve">Tier 3 </v>
      </c>
      <c r="O346" t="s">
        <v>1032</v>
      </c>
    </row>
    <row r="347" spans="1:15" x14ac:dyDescent="0.25">
      <c r="A347" t="s">
        <v>709</v>
      </c>
      <c r="B347" t="s">
        <v>710</v>
      </c>
      <c r="C347" t="s">
        <v>14</v>
      </c>
      <c r="D347" t="s">
        <v>71</v>
      </c>
      <c r="E347" t="s">
        <v>28</v>
      </c>
      <c r="F347">
        <v>23</v>
      </c>
      <c r="G347" t="b">
        <v>0</v>
      </c>
      <c r="H347" s="3">
        <v>18072</v>
      </c>
      <c r="I347" s="3">
        <v>216864</v>
      </c>
      <c r="J347">
        <v>4</v>
      </c>
      <c r="K347">
        <v>3</v>
      </c>
      <c r="L347">
        <v>30</v>
      </c>
      <c r="M347" t="s">
        <v>11</v>
      </c>
      <c r="N347" t="str">
        <f>IF(tblCustomer[[#This Row],[Monthly Revenue]]&gt;=30000, "Tier 1 ", IF(tblCustomer[[#This Row],[Monthly Revenue]]&gt;= 15000,"Tier 2 ","Tier 3 "))</f>
        <v xml:space="preserve">Tier 2 </v>
      </c>
      <c r="O347" t="s">
        <v>1031</v>
      </c>
    </row>
    <row r="348" spans="1:15" x14ac:dyDescent="0.25">
      <c r="A348" t="s">
        <v>711</v>
      </c>
      <c r="B348" t="s">
        <v>712</v>
      </c>
      <c r="C348" t="s">
        <v>14</v>
      </c>
      <c r="D348" t="s">
        <v>4</v>
      </c>
      <c r="E348" t="s">
        <v>28</v>
      </c>
      <c r="F348">
        <v>1</v>
      </c>
      <c r="G348" t="b">
        <v>0</v>
      </c>
      <c r="H348" s="3">
        <v>22582</v>
      </c>
      <c r="I348" s="3">
        <v>270984</v>
      </c>
      <c r="J348">
        <v>0</v>
      </c>
      <c r="K348">
        <v>0</v>
      </c>
      <c r="L348">
        <v>0</v>
      </c>
      <c r="M348" t="s">
        <v>11</v>
      </c>
      <c r="N348" t="str">
        <f>IF(tblCustomer[[#This Row],[Monthly Revenue]]&gt;=30000, "Tier 1 ", IF(tblCustomer[[#This Row],[Monthly Revenue]]&gt;= 15000,"Tier 2 ","Tier 3 "))</f>
        <v xml:space="preserve">Tier 2 </v>
      </c>
      <c r="O348" t="s">
        <v>1030</v>
      </c>
    </row>
    <row r="349" spans="1:15" x14ac:dyDescent="0.25">
      <c r="A349" t="s">
        <v>713</v>
      </c>
      <c r="B349" t="s">
        <v>714</v>
      </c>
      <c r="C349" t="s">
        <v>27</v>
      </c>
      <c r="D349" t="s">
        <v>4</v>
      </c>
      <c r="E349" t="s">
        <v>5</v>
      </c>
      <c r="F349">
        <v>31</v>
      </c>
      <c r="G349" t="b">
        <v>0</v>
      </c>
      <c r="H349" s="3">
        <v>41630</v>
      </c>
      <c r="I349" s="3">
        <v>499560</v>
      </c>
      <c r="J349">
        <v>4</v>
      </c>
      <c r="K349">
        <v>2</v>
      </c>
      <c r="L349">
        <v>45</v>
      </c>
      <c r="M349" t="s">
        <v>6</v>
      </c>
      <c r="N349" t="str">
        <f>IF(tblCustomer[[#This Row],[Monthly Revenue]]&gt;=30000, "Tier 1 ", IF(tblCustomer[[#This Row],[Monthly Revenue]]&gt;= 15000,"Tier 2 ","Tier 3 "))</f>
        <v xml:space="preserve">Tier 1 </v>
      </c>
      <c r="O349" t="s">
        <v>1032</v>
      </c>
    </row>
    <row r="350" spans="1:15" x14ac:dyDescent="0.25">
      <c r="A350" t="s">
        <v>715</v>
      </c>
      <c r="B350" t="s">
        <v>716</v>
      </c>
      <c r="C350" t="s">
        <v>27</v>
      </c>
      <c r="D350" t="s">
        <v>10</v>
      </c>
      <c r="E350" t="s">
        <v>5</v>
      </c>
      <c r="F350">
        <v>43</v>
      </c>
      <c r="G350" t="b">
        <v>0</v>
      </c>
      <c r="H350" s="3">
        <v>17931</v>
      </c>
      <c r="I350" s="3">
        <v>215172</v>
      </c>
      <c r="J350">
        <v>6</v>
      </c>
      <c r="K350">
        <v>0.67</v>
      </c>
      <c r="L350">
        <v>70</v>
      </c>
      <c r="M350" t="s">
        <v>19</v>
      </c>
      <c r="N350" t="str">
        <f>IF(tblCustomer[[#This Row],[Monthly Revenue]]&gt;=30000, "Tier 1 ", IF(tblCustomer[[#This Row],[Monthly Revenue]]&gt;= 15000,"Tier 2 ","Tier 3 "))</f>
        <v xml:space="preserve">Tier 2 </v>
      </c>
      <c r="O350" t="s">
        <v>1027</v>
      </c>
    </row>
    <row r="351" spans="1:15" x14ac:dyDescent="0.25">
      <c r="A351" t="s">
        <v>717</v>
      </c>
      <c r="B351" t="s">
        <v>718</v>
      </c>
      <c r="C351" t="s">
        <v>14</v>
      </c>
      <c r="D351" t="s">
        <v>18</v>
      </c>
      <c r="E351" t="s">
        <v>22</v>
      </c>
      <c r="F351">
        <v>1</v>
      </c>
      <c r="G351" t="b">
        <v>1</v>
      </c>
      <c r="H351" s="3">
        <v>12326</v>
      </c>
      <c r="I351" s="3">
        <v>147912</v>
      </c>
      <c r="J351">
        <v>2</v>
      </c>
      <c r="K351">
        <v>3</v>
      </c>
      <c r="L351">
        <v>30</v>
      </c>
      <c r="M351" t="s">
        <v>11</v>
      </c>
      <c r="N351" t="str">
        <f>IF(tblCustomer[[#This Row],[Monthly Revenue]]&gt;=30000, "Tier 1 ", IF(tblCustomer[[#This Row],[Monthly Revenue]]&gt;= 15000,"Tier 2 ","Tier 3 "))</f>
        <v xml:space="preserve">Tier 3 </v>
      </c>
      <c r="O351" t="s">
        <v>1029</v>
      </c>
    </row>
    <row r="352" spans="1:15" x14ac:dyDescent="0.25">
      <c r="A352" t="s">
        <v>719</v>
      </c>
      <c r="B352" t="s">
        <v>720</v>
      </c>
      <c r="C352" t="s">
        <v>14</v>
      </c>
      <c r="D352" t="s">
        <v>18</v>
      </c>
      <c r="E352" t="s">
        <v>5</v>
      </c>
      <c r="F352">
        <v>41</v>
      </c>
      <c r="G352" t="b">
        <v>0</v>
      </c>
      <c r="H352" s="3">
        <v>43633</v>
      </c>
      <c r="I352" s="3">
        <v>523596</v>
      </c>
      <c r="J352">
        <v>5</v>
      </c>
      <c r="K352">
        <v>3.2</v>
      </c>
      <c r="L352">
        <v>40</v>
      </c>
      <c r="M352" t="s">
        <v>6</v>
      </c>
      <c r="N352" t="str">
        <f>IF(tblCustomer[[#This Row],[Monthly Revenue]]&gt;=30000, "Tier 1 ", IF(tblCustomer[[#This Row],[Monthly Revenue]]&gt;= 15000,"Tier 2 ","Tier 3 "))</f>
        <v xml:space="preserve">Tier 1 </v>
      </c>
      <c r="O352" t="s">
        <v>1027</v>
      </c>
    </row>
    <row r="353" spans="1:15" x14ac:dyDescent="0.25">
      <c r="A353" t="s">
        <v>721</v>
      </c>
      <c r="B353" t="s">
        <v>722</v>
      </c>
      <c r="C353" t="s">
        <v>9</v>
      </c>
      <c r="D353" t="s">
        <v>33</v>
      </c>
      <c r="E353" t="s">
        <v>22</v>
      </c>
      <c r="F353">
        <v>32</v>
      </c>
      <c r="G353" t="b">
        <v>0</v>
      </c>
      <c r="H353" s="3">
        <v>9036</v>
      </c>
      <c r="I353" s="3">
        <v>108432</v>
      </c>
      <c r="J353">
        <v>4</v>
      </c>
      <c r="K353">
        <v>1.75</v>
      </c>
      <c r="L353">
        <v>15</v>
      </c>
      <c r="M353" t="s">
        <v>11</v>
      </c>
      <c r="N353" t="str">
        <f>IF(tblCustomer[[#This Row],[Monthly Revenue]]&gt;=30000, "Tier 1 ", IF(tblCustomer[[#This Row],[Monthly Revenue]]&gt;= 15000,"Tier 2 ","Tier 3 "))</f>
        <v xml:space="preserve">Tier 3 </v>
      </c>
      <c r="O353" t="s">
        <v>1032</v>
      </c>
    </row>
    <row r="354" spans="1:15" x14ac:dyDescent="0.25">
      <c r="A354" t="s">
        <v>723</v>
      </c>
      <c r="B354" t="s">
        <v>724</v>
      </c>
      <c r="C354" t="s">
        <v>17</v>
      </c>
      <c r="D354" t="s">
        <v>4</v>
      </c>
      <c r="E354" t="s">
        <v>5</v>
      </c>
      <c r="F354">
        <v>29</v>
      </c>
      <c r="G354" t="b">
        <v>0</v>
      </c>
      <c r="H354" s="3">
        <v>28913</v>
      </c>
      <c r="I354" s="3">
        <v>346956</v>
      </c>
      <c r="J354">
        <v>3</v>
      </c>
      <c r="K354">
        <v>3</v>
      </c>
      <c r="L354">
        <v>30</v>
      </c>
      <c r="M354" t="s">
        <v>11</v>
      </c>
      <c r="N354" t="str">
        <f>IF(tblCustomer[[#This Row],[Monthly Revenue]]&gt;=30000, "Tier 1 ", IF(tblCustomer[[#This Row],[Monthly Revenue]]&gt;= 15000,"Tier 2 ","Tier 3 "))</f>
        <v xml:space="preserve">Tier 2 </v>
      </c>
      <c r="O354" t="s">
        <v>1027</v>
      </c>
    </row>
    <row r="355" spans="1:15" x14ac:dyDescent="0.25">
      <c r="A355" t="s">
        <v>725</v>
      </c>
      <c r="B355" t="s">
        <v>726</v>
      </c>
      <c r="C355" t="s">
        <v>3</v>
      </c>
      <c r="D355" t="s">
        <v>4</v>
      </c>
      <c r="E355" t="s">
        <v>22</v>
      </c>
      <c r="F355">
        <v>19</v>
      </c>
      <c r="G355" t="b">
        <v>0</v>
      </c>
      <c r="H355" s="3">
        <v>11194</v>
      </c>
      <c r="I355" s="3">
        <v>134328</v>
      </c>
      <c r="J355">
        <v>5</v>
      </c>
      <c r="K355">
        <v>1.6</v>
      </c>
      <c r="L355">
        <v>55</v>
      </c>
      <c r="M355" t="s">
        <v>6</v>
      </c>
      <c r="N355" t="str">
        <f>IF(tblCustomer[[#This Row],[Monthly Revenue]]&gt;=30000, "Tier 1 ", IF(tblCustomer[[#This Row],[Monthly Revenue]]&gt;= 15000,"Tier 2 ","Tier 3 "))</f>
        <v xml:space="preserve">Tier 3 </v>
      </c>
      <c r="O355" t="s">
        <v>1032</v>
      </c>
    </row>
    <row r="356" spans="1:15" x14ac:dyDescent="0.25">
      <c r="A356" t="s">
        <v>727</v>
      </c>
      <c r="B356" t="s">
        <v>728</v>
      </c>
      <c r="C356" t="s">
        <v>14</v>
      </c>
      <c r="D356" t="s">
        <v>4</v>
      </c>
      <c r="E356" t="s">
        <v>22</v>
      </c>
      <c r="F356">
        <v>29</v>
      </c>
      <c r="G356" t="b">
        <v>0</v>
      </c>
      <c r="H356" s="3">
        <v>3393</v>
      </c>
      <c r="I356" s="3">
        <v>40716</v>
      </c>
      <c r="J356">
        <v>5</v>
      </c>
      <c r="K356">
        <v>1.2</v>
      </c>
      <c r="L356">
        <v>70</v>
      </c>
      <c r="M356" t="s">
        <v>19</v>
      </c>
      <c r="N356" t="str">
        <f>IF(tblCustomer[[#This Row],[Monthly Revenue]]&gt;=30000, "Tier 1 ", IF(tblCustomer[[#This Row],[Monthly Revenue]]&gt;= 15000,"Tier 2 ","Tier 3 "))</f>
        <v xml:space="preserve">Tier 3 </v>
      </c>
      <c r="O356" t="s">
        <v>1028</v>
      </c>
    </row>
    <row r="357" spans="1:15" x14ac:dyDescent="0.25">
      <c r="A357" t="s">
        <v>729</v>
      </c>
      <c r="B357" t="s">
        <v>730</v>
      </c>
      <c r="C357" t="s">
        <v>3</v>
      </c>
      <c r="D357" t="s">
        <v>18</v>
      </c>
      <c r="E357" t="s">
        <v>5</v>
      </c>
      <c r="F357">
        <v>26</v>
      </c>
      <c r="G357" t="b">
        <v>1</v>
      </c>
      <c r="H357" s="3">
        <v>14327</v>
      </c>
      <c r="I357" s="3">
        <v>171924</v>
      </c>
      <c r="J357">
        <v>5</v>
      </c>
      <c r="K357">
        <v>3.4</v>
      </c>
      <c r="L357">
        <v>40</v>
      </c>
      <c r="M357" t="s">
        <v>6</v>
      </c>
      <c r="N357" t="str">
        <f>IF(tblCustomer[[#This Row],[Monthly Revenue]]&gt;=30000, "Tier 1 ", IF(tblCustomer[[#This Row],[Monthly Revenue]]&gt;= 15000,"Tier 2 ","Tier 3 "))</f>
        <v xml:space="preserve">Tier 3 </v>
      </c>
      <c r="O357" t="s">
        <v>1028</v>
      </c>
    </row>
    <row r="358" spans="1:15" x14ac:dyDescent="0.25">
      <c r="A358" t="s">
        <v>731</v>
      </c>
      <c r="B358" t="s">
        <v>732</v>
      </c>
      <c r="C358" t="s">
        <v>27</v>
      </c>
      <c r="D358" t="s">
        <v>4</v>
      </c>
      <c r="E358" t="s">
        <v>28</v>
      </c>
      <c r="F358">
        <v>8</v>
      </c>
      <c r="G358" t="b">
        <v>0</v>
      </c>
      <c r="H358" s="3">
        <v>23990</v>
      </c>
      <c r="I358" s="3">
        <v>287880</v>
      </c>
      <c r="J358">
        <v>3</v>
      </c>
      <c r="K358">
        <v>2.67</v>
      </c>
      <c r="L358">
        <v>0</v>
      </c>
      <c r="M358" t="s">
        <v>11</v>
      </c>
      <c r="N358" t="str">
        <f>IF(tblCustomer[[#This Row],[Monthly Revenue]]&gt;=30000, "Tier 1 ", IF(tblCustomer[[#This Row],[Monthly Revenue]]&gt;= 15000,"Tier 2 ","Tier 3 "))</f>
        <v xml:space="preserve">Tier 2 </v>
      </c>
      <c r="O358" t="s">
        <v>1032</v>
      </c>
    </row>
    <row r="359" spans="1:15" x14ac:dyDescent="0.25">
      <c r="A359" t="s">
        <v>733</v>
      </c>
      <c r="B359" t="s">
        <v>734</v>
      </c>
      <c r="C359" t="s">
        <v>17</v>
      </c>
      <c r="D359" t="s">
        <v>4</v>
      </c>
      <c r="E359" t="s">
        <v>22</v>
      </c>
      <c r="F359">
        <v>5</v>
      </c>
      <c r="G359" t="b">
        <v>1</v>
      </c>
      <c r="H359" s="3">
        <v>11756</v>
      </c>
      <c r="I359" s="3">
        <v>141072</v>
      </c>
      <c r="J359">
        <v>5</v>
      </c>
      <c r="K359">
        <v>4.2</v>
      </c>
      <c r="L359">
        <v>40</v>
      </c>
      <c r="M359" t="s">
        <v>6</v>
      </c>
      <c r="N359" t="str">
        <f>IF(tblCustomer[[#This Row],[Monthly Revenue]]&gt;=30000, "Tier 1 ", IF(tblCustomer[[#This Row],[Monthly Revenue]]&gt;= 15000,"Tier 2 ","Tier 3 "))</f>
        <v xml:space="preserve">Tier 3 </v>
      </c>
      <c r="O359" t="s">
        <v>1028</v>
      </c>
    </row>
    <row r="360" spans="1:15" x14ac:dyDescent="0.25">
      <c r="A360" t="s">
        <v>735</v>
      </c>
      <c r="B360" t="s">
        <v>736</v>
      </c>
      <c r="C360" t="s">
        <v>3</v>
      </c>
      <c r="D360" t="s">
        <v>90</v>
      </c>
      <c r="E360" t="s">
        <v>22</v>
      </c>
      <c r="F360">
        <v>87</v>
      </c>
      <c r="G360" t="b">
        <v>0</v>
      </c>
      <c r="H360" s="3">
        <v>130152</v>
      </c>
      <c r="I360" s="3">
        <v>1561824</v>
      </c>
      <c r="J360">
        <v>4</v>
      </c>
      <c r="K360">
        <v>3</v>
      </c>
      <c r="L360">
        <v>0</v>
      </c>
      <c r="M360" t="s">
        <v>11</v>
      </c>
      <c r="N360" t="str">
        <f>IF(tblCustomer[[#This Row],[Monthly Revenue]]&gt;=30000, "Tier 1 ", IF(tblCustomer[[#This Row],[Monthly Revenue]]&gt;= 15000,"Tier 2 ","Tier 3 "))</f>
        <v xml:space="preserve">Tier 1 </v>
      </c>
      <c r="O360" t="s">
        <v>1031</v>
      </c>
    </row>
    <row r="361" spans="1:15" x14ac:dyDescent="0.25">
      <c r="A361" t="s">
        <v>737</v>
      </c>
      <c r="B361" t="s">
        <v>738</v>
      </c>
      <c r="C361" t="s">
        <v>17</v>
      </c>
      <c r="D361" t="s">
        <v>4</v>
      </c>
      <c r="E361" t="s">
        <v>5</v>
      </c>
      <c r="F361">
        <v>22</v>
      </c>
      <c r="G361" t="b">
        <v>0</v>
      </c>
      <c r="H361" s="3">
        <v>19940</v>
      </c>
      <c r="I361" s="3">
        <v>239280</v>
      </c>
      <c r="J361">
        <v>5</v>
      </c>
      <c r="K361">
        <v>1.8</v>
      </c>
      <c r="L361">
        <v>55</v>
      </c>
      <c r="M361" t="s">
        <v>6</v>
      </c>
      <c r="N361" t="str">
        <f>IF(tblCustomer[[#This Row],[Monthly Revenue]]&gt;=30000, "Tier 1 ", IF(tblCustomer[[#This Row],[Monthly Revenue]]&gt;= 15000,"Tier 2 ","Tier 3 "))</f>
        <v xml:space="preserve">Tier 2 </v>
      </c>
      <c r="O361" t="s">
        <v>1029</v>
      </c>
    </row>
    <row r="362" spans="1:15" x14ac:dyDescent="0.25">
      <c r="A362" t="s">
        <v>739</v>
      </c>
      <c r="B362" t="s">
        <v>740</v>
      </c>
      <c r="C362" t="s">
        <v>14</v>
      </c>
      <c r="D362" t="s">
        <v>90</v>
      </c>
      <c r="E362" t="s">
        <v>22</v>
      </c>
      <c r="F362">
        <v>30</v>
      </c>
      <c r="G362" t="b">
        <v>0</v>
      </c>
      <c r="H362" s="3">
        <v>15557</v>
      </c>
      <c r="I362" s="3">
        <v>186684</v>
      </c>
      <c r="J362">
        <v>6</v>
      </c>
      <c r="K362">
        <v>3.33</v>
      </c>
      <c r="L362">
        <v>10</v>
      </c>
      <c r="M362" t="s">
        <v>11</v>
      </c>
      <c r="N362" t="str">
        <f>IF(tblCustomer[[#This Row],[Monthly Revenue]]&gt;=30000, "Tier 1 ", IF(tblCustomer[[#This Row],[Monthly Revenue]]&gt;= 15000,"Tier 2 ","Tier 3 "))</f>
        <v xml:space="preserve">Tier 2 </v>
      </c>
      <c r="O362" t="s">
        <v>1032</v>
      </c>
    </row>
    <row r="363" spans="1:15" x14ac:dyDescent="0.25">
      <c r="A363" t="s">
        <v>741</v>
      </c>
      <c r="B363" t="s">
        <v>742</v>
      </c>
      <c r="C363" t="s">
        <v>27</v>
      </c>
      <c r="D363" t="s">
        <v>10</v>
      </c>
      <c r="E363" t="s">
        <v>5</v>
      </c>
      <c r="F363">
        <v>42</v>
      </c>
      <c r="G363" t="b">
        <v>0</v>
      </c>
      <c r="H363" s="3">
        <v>36162</v>
      </c>
      <c r="I363" s="3">
        <v>433944</v>
      </c>
      <c r="J363">
        <v>9</v>
      </c>
      <c r="K363">
        <v>1.78</v>
      </c>
      <c r="L363">
        <v>65</v>
      </c>
      <c r="M363" t="s">
        <v>19</v>
      </c>
      <c r="N363" t="str">
        <f>IF(tblCustomer[[#This Row],[Monthly Revenue]]&gt;=30000, "Tier 1 ", IF(tblCustomer[[#This Row],[Monthly Revenue]]&gt;= 15000,"Tier 2 ","Tier 3 "))</f>
        <v xml:space="preserve">Tier 1 </v>
      </c>
      <c r="O363" t="s">
        <v>1029</v>
      </c>
    </row>
    <row r="364" spans="1:15" x14ac:dyDescent="0.25">
      <c r="A364" t="s">
        <v>743</v>
      </c>
      <c r="B364" t="s">
        <v>744</v>
      </c>
      <c r="C364" t="s">
        <v>3</v>
      </c>
      <c r="D364" t="s">
        <v>10</v>
      </c>
      <c r="E364" t="s">
        <v>5</v>
      </c>
      <c r="F364">
        <v>19</v>
      </c>
      <c r="G364" t="b">
        <v>0</v>
      </c>
      <c r="H364" s="3">
        <v>36755</v>
      </c>
      <c r="I364" s="3">
        <v>441060</v>
      </c>
      <c r="J364">
        <v>4</v>
      </c>
      <c r="K364">
        <v>0</v>
      </c>
      <c r="L364">
        <v>60</v>
      </c>
      <c r="M364" t="s">
        <v>19</v>
      </c>
      <c r="N364" t="str">
        <f>IF(tblCustomer[[#This Row],[Monthly Revenue]]&gt;=30000, "Tier 1 ", IF(tblCustomer[[#This Row],[Monthly Revenue]]&gt;= 15000,"Tier 2 ","Tier 3 "))</f>
        <v xml:space="preserve">Tier 1 </v>
      </c>
      <c r="O364" t="s">
        <v>1029</v>
      </c>
    </row>
    <row r="365" spans="1:15" x14ac:dyDescent="0.25">
      <c r="A365" t="s">
        <v>745</v>
      </c>
      <c r="B365" t="s">
        <v>746</v>
      </c>
      <c r="C365" t="s">
        <v>27</v>
      </c>
      <c r="D365" t="s">
        <v>4</v>
      </c>
      <c r="E365" t="s">
        <v>22</v>
      </c>
      <c r="F365">
        <v>5</v>
      </c>
      <c r="G365" t="b">
        <v>0</v>
      </c>
      <c r="H365" s="3">
        <v>6268</v>
      </c>
      <c r="I365" s="3">
        <v>75216</v>
      </c>
      <c r="J365">
        <v>6</v>
      </c>
      <c r="K365">
        <v>2.17</v>
      </c>
      <c r="L365">
        <v>55</v>
      </c>
      <c r="M365" t="s">
        <v>6</v>
      </c>
      <c r="N365" t="str">
        <f>IF(tblCustomer[[#This Row],[Monthly Revenue]]&gt;=30000, "Tier 1 ", IF(tblCustomer[[#This Row],[Monthly Revenue]]&gt;= 15000,"Tier 2 ","Tier 3 "))</f>
        <v xml:space="preserve">Tier 3 </v>
      </c>
      <c r="O365" t="s">
        <v>1031</v>
      </c>
    </row>
    <row r="366" spans="1:15" x14ac:dyDescent="0.25">
      <c r="A366" t="s">
        <v>747</v>
      </c>
      <c r="B366" t="s">
        <v>748</v>
      </c>
      <c r="C366" t="s">
        <v>14</v>
      </c>
      <c r="D366" t="s">
        <v>18</v>
      </c>
      <c r="E366" t="s">
        <v>5</v>
      </c>
      <c r="F366">
        <v>18</v>
      </c>
      <c r="G366" t="b">
        <v>0</v>
      </c>
      <c r="H366" s="3">
        <v>27557</v>
      </c>
      <c r="I366" s="3">
        <v>330684</v>
      </c>
      <c r="J366">
        <v>4</v>
      </c>
      <c r="K366">
        <v>1.75</v>
      </c>
      <c r="L366">
        <v>15</v>
      </c>
      <c r="M366" t="s">
        <v>11</v>
      </c>
      <c r="N366" t="str">
        <f>IF(tblCustomer[[#This Row],[Monthly Revenue]]&gt;=30000, "Tier 1 ", IF(tblCustomer[[#This Row],[Monthly Revenue]]&gt;= 15000,"Tier 2 ","Tier 3 "))</f>
        <v xml:space="preserve">Tier 2 </v>
      </c>
      <c r="O366" t="s">
        <v>1031</v>
      </c>
    </row>
    <row r="367" spans="1:15" x14ac:dyDescent="0.25">
      <c r="A367" t="s">
        <v>749</v>
      </c>
      <c r="B367" t="s">
        <v>750</v>
      </c>
      <c r="C367" t="s">
        <v>3</v>
      </c>
      <c r="D367" t="s">
        <v>4</v>
      </c>
      <c r="E367" t="s">
        <v>5</v>
      </c>
      <c r="F367">
        <v>3</v>
      </c>
      <c r="G367" t="b">
        <v>1</v>
      </c>
      <c r="H367" s="3">
        <v>14322</v>
      </c>
      <c r="I367" s="3">
        <v>171864</v>
      </c>
      <c r="J367">
        <v>0</v>
      </c>
      <c r="K367">
        <v>0</v>
      </c>
      <c r="L367">
        <v>30</v>
      </c>
      <c r="M367" t="s">
        <v>11</v>
      </c>
      <c r="N367" t="str">
        <f>IF(tblCustomer[[#This Row],[Monthly Revenue]]&gt;=30000, "Tier 1 ", IF(tblCustomer[[#This Row],[Monthly Revenue]]&gt;= 15000,"Tier 2 ","Tier 3 "))</f>
        <v xml:space="preserve">Tier 3 </v>
      </c>
      <c r="O367" t="s">
        <v>1027</v>
      </c>
    </row>
    <row r="368" spans="1:15" x14ac:dyDescent="0.25">
      <c r="A368" t="s">
        <v>751</v>
      </c>
      <c r="B368" t="s">
        <v>752</v>
      </c>
      <c r="C368" t="s">
        <v>27</v>
      </c>
      <c r="D368" t="s">
        <v>54</v>
      </c>
      <c r="E368" t="s">
        <v>28</v>
      </c>
      <c r="F368">
        <v>30</v>
      </c>
      <c r="G368" t="b">
        <v>1</v>
      </c>
      <c r="H368" s="3">
        <v>28273</v>
      </c>
      <c r="I368" s="3">
        <v>339276</v>
      </c>
      <c r="J368">
        <v>4</v>
      </c>
      <c r="K368">
        <v>1.25</v>
      </c>
      <c r="L368">
        <v>60</v>
      </c>
      <c r="M368" t="s">
        <v>19</v>
      </c>
      <c r="N368" t="str">
        <f>IF(tblCustomer[[#This Row],[Monthly Revenue]]&gt;=30000, "Tier 1 ", IF(tblCustomer[[#This Row],[Monthly Revenue]]&gt;= 15000,"Tier 2 ","Tier 3 "))</f>
        <v xml:space="preserve">Tier 2 </v>
      </c>
      <c r="O368" t="s">
        <v>1027</v>
      </c>
    </row>
    <row r="369" spans="1:15" x14ac:dyDescent="0.25">
      <c r="A369" t="s">
        <v>753</v>
      </c>
      <c r="B369" t="s">
        <v>754</v>
      </c>
      <c r="C369" t="s">
        <v>14</v>
      </c>
      <c r="D369" t="s">
        <v>4</v>
      </c>
      <c r="E369" t="s">
        <v>28</v>
      </c>
      <c r="F369">
        <v>69</v>
      </c>
      <c r="G369" t="b">
        <v>0</v>
      </c>
      <c r="H369" s="3">
        <v>12765</v>
      </c>
      <c r="I369" s="3">
        <v>153180</v>
      </c>
      <c r="J369">
        <v>7</v>
      </c>
      <c r="K369">
        <v>2</v>
      </c>
      <c r="L369">
        <v>55</v>
      </c>
      <c r="M369" t="s">
        <v>6</v>
      </c>
      <c r="N369" t="str">
        <f>IF(tblCustomer[[#This Row],[Monthly Revenue]]&gt;=30000, "Tier 1 ", IF(tblCustomer[[#This Row],[Monthly Revenue]]&gt;= 15000,"Tier 2 ","Tier 3 "))</f>
        <v xml:space="preserve">Tier 3 </v>
      </c>
      <c r="O369" t="s">
        <v>1028</v>
      </c>
    </row>
    <row r="370" spans="1:15" x14ac:dyDescent="0.25">
      <c r="A370" t="s">
        <v>755</v>
      </c>
      <c r="B370" t="s">
        <v>756</v>
      </c>
      <c r="C370" t="s">
        <v>3</v>
      </c>
      <c r="D370" t="s">
        <v>71</v>
      </c>
      <c r="E370" t="s">
        <v>28</v>
      </c>
      <c r="F370">
        <v>105</v>
      </c>
      <c r="G370" t="b">
        <v>0</v>
      </c>
      <c r="H370" s="3">
        <v>94710</v>
      </c>
      <c r="I370" s="3">
        <v>1136520</v>
      </c>
      <c r="J370">
        <v>2</v>
      </c>
      <c r="K370">
        <v>3.5</v>
      </c>
      <c r="L370">
        <v>0</v>
      </c>
      <c r="M370" t="s">
        <v>11</v>
      </c>
      <c r="N370" t="str">
        <f>IF(tblCustomer[[#This Row],[Monthly Revenue]]&gt;=30000, "Tier 1 ", IF(tblCustomer[[#This Row],[Monthly Revenue]]&gt;= 15000,"Tier 2 ","Tier 3 "))</f>
        <v xml:space="preserve">Tier 1 </v>
      </c>
      <c r="O370" t="s">
        <v>1032</v>
      </c>
    </row>
    <row r="371" spans="1:15" x14ac:dyDescent="0.25">
      <c r="A371" t="s">
        <v>757</v>
      </c>
      <c r="B371" t="s">
        <v>758</v>
      </c>
      <c r="C371" t="s">
        <v>27</v>
      </c>
      <c r="D371" t="s">
        <v>4</v>
      </c>
      <c r="E371" t="s">
        <v>22</v>
      </c>
      <c r="F371">
        <v>28</v>
      </c>
      <c r="G371" t="b">
        <v>1</v>
      </c>
      <c r="H371" s="3">
        <v>28862</v>
      </c>
      <c r="I371" s="3">
        <v>346344</v>
      </c>
      <c r="J371">
        <v>3</v>
      </c>
      <c r="K371">
        <v>1.33</v>
      </c>
      <c r="L371">
        <v>30</v>
      </c>
      <c r="M371" t="s">
        <v>11</v>
      </c>
      <c r="N371" t="str">
        <f>IF(tblCustomer[[#This Row],[Monthly Revenue]]&gt;=30000, "Tier 1 ", IF(tblCustomer[[#This Row],[Monthly Revenue]]&gt;= 15000,"Tier 2 ","Tier 3 "))</f>
        <v xml:space="preserve">Tier 2 </v>
      </c>
      <c r="O371" t="s">
        <v>1029</v>
      </c>
    </row>
    <row r="372" spans="1:15" x14ac:dyDescent="0.25">
      <c r="A372" t="s">
        <v>759</v>
      </c>
      <c r="B372" t="s">
        <v>760</v>
      </c>
      <c r="C372" t="s">
        <v>14</v>
      </c>
      <c r="D372" t="s">
        <v>4</v>
      </c>
      <c r="E372" t="s">
        <v>28</v>
      </c>
      <c r="F372">
        <v>33</v>
      </c>
      <c r="G372" t="b">
        <v>0</v>
      </c>
      <c r="H372" s="3">
        <v>26256</v>
      </c>
      <c r="I372" s="3">
        <v>315072</v>
      </c>
      <c r="J372">
        <v>4</v>
      </c>
      <c r="K372">
        <v>0.75</v>
      </c>
      <c r="L372">
        <v>60</v>
      </c>
      <c r="M372" t="s">
        <v>19</v>
      </c>
      <c r="N372" t="str">
        <f>IF(tblCustomer[[#This Row],[Monthly Revenue]]&gt;=30000, "Tier 1 ", IF(tblCustomer[[#This Row],[Monthly Revenue]]&gt;= 15000,"Tier 2 ","Tier 3 "))</f>
        <v xml:space="preserve">Tier 2 </v>
      </c>
      <c r="O372" t="s">
        <v>1031</v>
      </c>
    </row>
    <row r="373" spans="1:15" x14ac:dyDescent="0.25">
      <c r="A373" t="s">
        <v>761</v>
      </c>
      <c r="B373" t="s">
        <v>762</v>
      </c>
      <c r="C373" t="s">
        <v>14</v>
      </c>
      <c r="D373" t="s">
        <v>4</v>
      </c>
      <c r="E373" t="s">
        <v>28</v>
      </c>
      <c r="F373">
        <v>15</v>
      </c>
      <c r="G373" t="b">
        <v>0</v>
      </c>
      <c r="H373" s="3">
        <v>28549</v>
      </c>
      <c r="I373" s="3">
        <v>342588</v>
      </c>
      <c r="J373">
        <v>5</v>
      </c>
      <c r="K373">
        <v>0.6</v>
      </c>
      <c r="L373">
        <v>70</v>
      </c>
      <c r="M373" t="s">
        <v>19</v>
      </c>
      <c r="N373" t="str">
        <f>IF(tblCustomer[[#This Row],[Monthly Revenue]]&gt;=30000, "Tier 1 ", IF(tblCustomer[[#This Row],[Monthly Revenue]]&gt;= 15000,"Tier 2 ","Tier 3 "))</f>
        <v xml:space="preserve">Tier 2 </v>
      </c>
      <c r="O373" t="s">
        <v>1029</v>
      </c>
    </row>
    <row r="374" spans="1:15" x14ac:dyDescent="0.25">
      <c r="A374" t="s">
        <v>763</v>
      </c>
      <c r="B374" t="s">
        <v>764</v>
      </c>
      <c r="C374" t="s">
        <v>14</v>
      </c>
      <c r="D374" t="s">
        <v>4</v>
      </c>
      <c r="E374" t="s">
        <v>5</v>
      </c>
      <c r="F374">
        <v>1</v>
      </c>
      <c r="G374" t="b">
        <v>0</v>
      </c>
      <c r="H374" s="3">
        <v>8344</v>
      </c>
      <c r="I374" s="3">
        <v>100128</v>
      </c>
      <c r="J374">
        <v>2</v>
      </c>
      <c r="K374">
        <v>3.5</v>
      </c>
      <c r="L374">
        <v>30</v>
      </c>
      <c r="M374" t="s">
        <v>11</v>
      </c>
      <c r="N374" t="str">
        <f>IF(tblCustomer[[#This Row],[Monthly Revenue]]&gt;=30000, "Tier 1 ", IF(tblCustomer[[#This Row],[Monthly Revenue]]&gt;= 15000,"Tier 2 ","Tier 3 "))</f>
        <v xml:space="preserve">Tier 3 </v>
      </c>
      <c r="O374" t="s">
        <v>1027</v>
      </c>
    </row>
    <row r="375" spans="1:15" x14ac:dyDescent="0.25">
      <c r="A375" t="s">
        <v>765</v>
      </c>
      <c r="B375" t="s">
        <v>766</v>
      </c>
      <c r="C375" t="s">
        <v>27</v>
      </c>
      <c r="D375" t="s">
        <v>4</v>
      </c>
      <c r="E375" t="s">
        <v>28</v>
      </c>
      <c r="F375">
        <v>2</v>
      </c>
      <c r="G375" t="b">
        <v>0</v>
      </c>
      <c r="H375" s="3">
        <v>17263</v>
      </c>
      <c r="I375" s="3">
        <v>207156</v>
      </c>
      <c r="J375">
        <v>7</v>
      </c>
      <c r="K375">
        <v>1.71</v>
      </c>
      <c r="L375">
        <v>55</v>
      </c>
      <c r="M375" t="s">
        <v>6</v>
      </c>
      <c r="N375" t="str">
        <f>IF(tblCustomer[[#This Row],[Monthly Revenue]]&gt;=30000, "Tier 1 ", IF(tblCustomer[[#This Row],[Monthly Revenue]]&gt;= 15000,"Tier 2 ","Tier 3 "))</f>
        <v xml:space="preserve">Tier 2 </v>
      </c>
      <c r="O375" t="s">
        <v>1030</v>
      </c>
    </row>
    <row r="376" spans="1:15" x14ac:dyDescent="0.25">
      <c r="A376" t="s">
        <v>767</v>
      </c>
      <c r="B376" t="s">
        <v>768</v>
      </c>
      <c r="C376" t="s">
        <v>27</v>
      </c>
      <c r="D376" t="s">
        <v>4</v>
      </c>
      <c r="E376" t="s">
        <v>22</v>
      </c>
      <c r="F376">
        <v>39</v>
      </c>
      <c r="G376" t="b">
        <v>0</v>
      </c>
      <c r="H376" s="3">
        <v>22290</v>
      </c>
      <c r="I376" s="3">
        <v>267480</v>
      </c>
      <c r="J376">
        <v>1</v>
      </c>
      <c r="K376">
        <v>4</v>
      </c>
      <c r="L376">
        <v>30</v>
      </c>
      <c r="M376" t="s">
        <v>11</v>
      </c>
      <c r="N376" t="str">
        <f>IF(tblCustomer[[#This Row],[Monthly Revenue]]&gt;=30000, "Tier 1 ", IF(tblCustomer[[#This Row],[Monthly Revenue]]&gt;= 15000,"Tier 2 ","Tier 3 "))</f>
        <v xml:space="preserve">Tier 2 </v>
      </c>
      <c r="O376" t="s">
        <v>1031</v>
      </c>
    </row>
    <row r="377" spans="1:15" x14ac:dyDescent="0.25">
      <c r="A377" t="s">
        <v>769</v>
      </c>
      <c r="B377" t="s">
        <v>770</v>
      </c>
      <c r="C377" t="s">
        <v>9</v>
      </c>
      <c r="D377" t="s">
        <v>18</v>
      </c>
      <c r="E377" t="s">
        <v>28</v>
      </c>
      <c r="F377">
        <v>16</v>
      </c>
      <c r="G377" t="b">
        <v>0</v>
      </c>
      <c r="H377" s="3">
        <v>11791</v>
      </c>
      <c r="I377" s="3">
        <v>141492</v>
      </c>
      <c r="J377">
        <v>5</v>
      </c>
      <c r="K377">
        <v>2.4</v>
      </c>
      <c r="L377">
        <v>55</v>
      </c>
      <c r="M377" t="s">
        <v>6</v>
      </c>
      <c r="N377" t="str">
        <f>IF(tblCustomer[[#This Row],[Monthly Revenue]]&gt;=30000, "Tier 1 ", IF(tblCustomer[[#This Row],[Monthly Revenue]]&gt;= 15000,"Tier 2 ","Tier 3 "))</f>
        <v xml:space="preserve">Tier 3 </v>
      </c>
      <c r="O377" t="s">
        <v>1031</v>
      </c>
    </row>
    <row r="378" spans="1:15" x14ac:dyDescent="0.25">
      <c r="A378" t="s">
        <v>771</v>
      </c>
      <c r="B378" t="s">
        <v>772</v>
      </c>
      <c r="C378" t="s">
        <v>27</v>
      </c>
      <c r="D378" t="s">
        <v>18</v>
      </c>
      <c r="E378" t="s">
        <v>28</v>
      </c>
      <c r="F378">
        <v>9</v>
      </c>
      <c r="G378" t="b">
        <v>0</v>
      </c>
      <c r="H378" s="3">
        <v>28788</v>
      </c>
      <c r="I378" s="3">
        <v>345456</v>
      </c>
      <c r="J378">
        <v>2</v>
      </c>
      <c r="K378">
        <v>5</v>
      </c>
      <c r="L378">
        <v>30</v>
      </c>
      <c r="M378" t="s">
        <v>11</v>
      </c>
      <c r="N378" t="str">
        <f>IF(tblCustomer[[#This Row],[Monthly Revenue]]&gt;=30000, "Tier 1 ", IF(tblCustomer[[#This Row],[Monthly Revenue]]&gt;= 15000,"Tier 2 ","Tier 3 "))</f>
        <v xml:space="preserve">Tier 2 </v>
      </c>
      <c r="O378" t="s">
        <v>1030</v>
      </c>
    </row>
    <row r="379" spans="1:15" x14ac:dyDescent="0.25">
      <c r="A379" t="s">
        <v>773</v>
      </c>
      <c r="B379" t="s">
        <v>774</v>
      </c>
      <c r="C379" t="s">
        <v>3</v>
      </c>
      <c r="D379" t="s">
        <v>4</v>
      </c>
      <c r="E379" t="s">
        <v>28</v>
      </c>
      <c r="F379">
        <v>13</v>
      </c>
      <c r="G379" t="b">
        <v>0</v>
      </c>
      <c r="H379" s="3">
        <v>12274</v>
      </c>
      <c r="I379" s="3">
        <v>147288</v>
      </c>
      <c r="J379">
        <v>3</v>
      </c>
      <c r="K379">
        <v>2.33</v>
      </c>
      <c r="L379">
        <v>45</v>
      </c>
      <c r="M379" t="s">
        <v>6</v>
      </c>
      <c r="N379" t="str">
        <f>IF(tblCustomer[[#This Row],[Monthly Revenue]]&gt;=30000, "Tier 1 ", IF(tblCustomer[[#This Row],[Monthly Revenue]]&gt;= 15000,"Tier 2 ","Tier 3 "))</f>
        <v xml:space="preserve">Tier 3 </v>
      </c>
      <c r="O379" t="s">
        <v>1031</v>
      </c>
    </row>
    <row r="380" spans="1:15" x14ac:dyDescent="0.25">
      <c r="A380" t="s">
        <v>775</v>
      </c>
      <c r="B380" t="s">
        <v>776</v>
      </c>
      <c r="C380" t="s">
        <v>9</v>
      </c>
      <c r="D380" t="s">
        <v>90</v>
      </c>
      <c r="E380" t="s">
        <v>22</v>
      </c>
      <c r="F380">
        <v>22</v>
      </c>
      <c r="G380" t="b">
        <v>0</v>
      </c>
      <c r="H380" s="3">
        <v>21160</v>
      </c>
      <c r="I380" s="3">
        <v>253920</v>
      </c>
      <c r="J380">
        <v>4</v>
      </c>
      <c r="K380">
        <v>2</v>
      </c>
      <c r="L380">
        <v>45</v>
      </c>
      <c r="M380" t="s">
        <v>6</v>
      </c>
      <c r="N380" t="str">
        <f>IF(tblCustomer[[#This Row],[Monthly Revenue]]&gt;=30000, "Tier 1 ", IF(tblCustomer[[#This Row],[Monthly Revenue]]&gt;= 15000,"Tier 2 ","Tier 3 "))</f>
        <v xml:space="preserve">Tier 2 </v>
      </c>
      <c r="O380" t="s">
        <v>1030</v>
      </c>
    </row>
    <row r="381" spans="1:15" x14ac:dyDescent="0.25">
      <c r="A381" t="s">
        <v>777</v>
      </c>
      <c r="B381" t="s">
        <v>778</v>
      </c>
      <c r="C381" t="s">
        <v>14</v>
      </c>
      <c r="D381" t="s">
        <v>4</v>
      </c>
      <c r="E381" t="s">
        <v>5</v>
      </c>
      <c r="F381">
        <v>13</v>
      </c>
      <c r="G381" t="b">
        <v>0</v>
      </c>
      <c r="H381" s="3">
        <v>27765</v>
      </c>
      <c r="I381" s="3">
        <v>333180</v>
      </c>
      <c r="J381">
        <v>3</v>
      </c>
      <c r="K381">
        <v>1</v>
      </c>
      <c r="L381">
        <v>60</v>
      </c>
      <c r="M381" t="s">
        <v>19</v>
      </c>
      <c r="N381" t="str">
        <f>IF(tblCustomer[[#This Row],[Monthly Revenue]]&gt;=30000, "Tier 1 ", IF(tblCustomer[[#This Row],[Monthly Revenue]]&gt;= 15000,"Tier 2 ","Tier 3 "))</f>
        <v xml:space="preserve">Tier 2 </v>
      </c>
      <c r="O381" t="s">
        <v>1031</v>
      </c>
    </row>
    <row r="382" spans="1:15" x14ac:dyDescent="0.25">
      <c r="A382" t="s">
        <v>779</v>
      </c>
      <c r="B382" t="s">
        <v>780</v>
      </c>
      <c r="C382" t="s">
        <v>27</v>
      </c>
      <c r="D382" t="s">
        <v>4</v>
      </c>
      <c r="E382" t="s">
        <v>5</v>
      </c>
      <c r="F382">
        <v>34</v>
      </c>
      <c r="G382" t="b">
        <v>0</v>
      </c>
      <c r="H382" s="3">
        <v>15470</v>
      </c>
      <c r="I382" s="3">
        <v>185640</v>
      </c>
      <c r="J382">
        <v>4</v>
      </c>
      <c r="K382">
        <v>2</v>
      </c>
      <c r="L382">
        <v>45</v>
      </c>
      <c r="M382" t="s">
        <v>6</v>
      </c>
      <c r="N382" t="str">
        <f>IF(tblCustomer[[#This Row],[Monthly Revenue]]&gt;=30000, "Tier 1 ", IF(tblCustomer[[#This Row],[Monthly Revenue]]&gt;= 15000,"Tier 2 ","Tier 3 "))</f>
        <v xml:space="preserve">Tier 2 </v>
      </c>
      <c r="O382" t="s">
        <v>1028</v>
      </c>
    </row>
    <row r="383" spans="1:15" x14ac:dyDescent="0.25">
      <c r="A383" t="s">
        <v>781</v>
      </c>
      <c r="B383" t="s">
        <v>782</v>
      </c>
      <c r="C383" t="s">
        <v>9</v>
      </c>
      <c r="D383" t="s">
        <v>18</v>
      </c>
      <c r="E383" t="s">
        <v>28</v>
      </c>
      <c r="F383">
        <v>16</v>
      </c>
      <c r="G383" t="b">
        <v>0</v>
      </c>
      <c r="H383" s="3">
        <v>4861</v>
      </c>
      <c r="I383" s="3">
        <v>58332</v>
      </c>
      <c r="J383">
        <v>2</v>
      </c>
      <c r="K383">
        <v>0</v>
      </c>
      <c r="L383">
        <v>60</v>
      </c>
      <c r="M383" t="s">
        <v>19</v>
      </c>
      <c r="N383" t="str">
        <f>IF(tblCustomer[[#This Row],[Monthly Revenue]]&gt;=30000, "Tier 1 ", IF(tblCustomer[[#This Row],[Monthly Revenue]]&gt;= 15000,"Tier 2 ","Tier 3 "))</f>
        <v xml:space="preserve">Tier 3 </v>
      </c>
      <c r="O383" t="s">
        <v>1032</v>
      </c>
    </row>
    <row r="384" spans="1:15" x14ac:dyDescent="0.25">
      <c r="A384" t="s">
        <v>783</v>
      </c>
      <c r="B384" t="s">
        <v>784</v>
      </c>
      <c r="C384" t="s">
        <v>3</v>
      </c>
      <c r="D384" t="s">
        <v>4</v>
      </c>
      <c r="E384" t="s">
        <v>28</v>
      </c>
      <c r="F384">
        <v>31</v>
      </c>
      <c r="G384" t="b">
        <v>0</v>
      </c>
      <c r="H384" s="3">
        <v>39120</v>
      </c>
      <c r="I384" s="3">
        <v>469440</v>
      </c>
      <c r="J384">
        <v>4</v>
      </c>
      <c r="K384">
        <v>1.5</v>
      </c>
      <c r="L384">
        <v>45</v>
      </c>
      <c r="M384" t="s">
        <v>6</v>
      </c>
      <c r="N384" t="str">
        <f>IF(tblCustomer[[#This Row],[Monthly Revenue]]&gt;=30000, "Tier 1 ", IF(tblCustomer[[#This Row],[Monthly Revenue]]&gt;= 15000,"Tier 2 ","Tier 3 "))</f>
        <v xml:space="preserve">Tier 1 </v>
      </c>
      <c r="O384" t="s">
        <v>1027</v>
      </c>
    </row>
    <row r="385" spans="1:15" x14ac:dyDescent="0.25">
      <c r="A385" t="s">
        <v>785</v>
      </c>
      <c r="B385" t="s">
        <v>786</v>
      </c>
      <c r="C385" t="s">
        <v>27</v>
      </c>
      <c r="D385" t="s">
        <v>18</v>
      </c>
      <c r="E385" t="s">
        <v>5</v>
      </c>
      <c r="F385">
        <v>40</v>
      </c>
      <c r="G385" t="b">
        <v>0</v>
      </c>
      <c r="H385" s="3">
        <v>43521</v>
      </c>
      <c r="I385" s="3">
        <v>522252</v>
      </c>
      <c r="J385">
        <v>3</v>
      </c>
      <c r="K385">
        <v>4.33</v>
      </c>
      <c r="L385">
        <v>30</v>
      </c>
      <c r="M385" t="s">
        <v>11</v>
      </c>
      <c r="N385" t="str">
        <f>IF(tblCustomer[[#This Row],[Monthly Revenue]]&gt;=30000, "Tier 1 ", IF(tblCustomer[[#This Row],[Monthly Revenue]]&gt;= 15000,"Tier 2 ","Tier 3 "))</f>
        <v xml:space="preserve">Tier 1 </v>
      </c>
      <c r="O385" t="s">
        <v>1030</v>
      </c>
    </row>
    <row r="386" spans="1:15" x14ac:dyDescent="0.25">
      <c r="A386" t="s">
        <v>787</v>
      </c>
      <c r="B386" t="s">
        <v>788</v>
      </c>
      <c r="C386" t="s">
        <v>9</v>
      </c>
      <c r="D386" t="s">
        <v>4</v>
      </c>
      <c r="E386" t="s">
        <v>22</v>
      </c>
      <c r="F386">
        <v>23</v>
      </c>
      <c r="G386" t="b">
        <v>0</v>
      </c>
      <c r="H386" s="3">
        <v>19435</v>
      </c>
      <c r="I386" s="3">
        <v>233220</v>
      </c>
      <c r="J386">
        <v>5</v>
      </c>
      <c r="K386">
        <v>1.8</v>
      </c>
      <c r="L386">
        <v>55</v>
      </c>
      <c r="M386" t="s">
        <v>6</v>
      </c>
      <c r="N386" t="str">
        <f>IF(tblCustomer[[#This Row],[Monthly Revenue]]&gt;=30000, "Tier 1 ", IF(tblCustomer[[#This Row],[Monthly Revenue]]&gt;= 15000,"Tier 2 ","Tier 3 "))</f>
        <v xml:space="preserve">Tier 2 </v>
      </c>
      <c r="O386" t="s">
        <v>1032</v>
      </c>
    </row>
    <row r="387" spans="1:15" x14ac:dyDescent="0.25">
      <c r="A387" t="s">
        <v>789</v>
      </c>
      <c r="B387" t="s">
        <v>790</v>
      </c>
      <c r="C387" t="s">
        <v>27</v>
      </c>
      <c r="D387" t="s">
        <v>10</v>
      </c>
      <c r="E387" t="s">
        <v>5</v>
      </c>
      <c r="F387">
        <v>27</v>
      </c>
      <c r="G387" t="b">
        <v>0</v>
      </c>
      <c r="H387" s="3">
        <v>12557</v>
      </c>
      <c r="I387" s="3">
        <v>150684</v>
      </c>
      <c r="J387">
        <v>4</v>
      </c>
      <c r="K387">
        <v>1.75</v>
      </c>
      <c r="L387">
        <v>15</v>
      </c>
      <c r="M387" t="s">
        <v>11</v>
      </c>
      <c r="N387" t="str">
        <f>IF(tblCustomer[[#This Row],[Monthly Revenue]]&gt;=30000, "Tier 1 ", IF(tblCustomer[[#This Row],[Monthly Revenue]]&gt;= 15000,"Tier 2 ","Tier 3 "))</f>
        <v xml:space="preserve">Tier 3 </v>
      </c>
      <c r="O387" t="s">
        <v>1027</v>
      </c>
    </row>
    <row r="388" spans="1:15" x14ac:dyDescent="0.25">
      <c r="A388" t="s">
        <v>791</v>
      </c>
      <c r="B388" t="s">
        <v>792</v>
      </c>
      <c r="C388" t="s">
        <v>27</v>
      </c>
      <c r="D388" t="s">
        <v>18</v>
      </c>
      <c r="E388" t="s">
        <v>5</v>
      </c>
      <c r="F388">
        <v>41</v>
      </c>
      <c r="G388" t="b">
        <v>0</v>
      </c>
      <c r="H388" s="3">
        <v>18860</v>
      </c>
      <c r="I388" s="3">
        <v>226320</v>
      </c>
      <c r="J388">
        <v>1</v>
      </c>
      <c r="K388">
        <v>4</v>
      </c>
      <c r="L388">
        <v>30</v>
      </c>
      <c r="M388" t="s">
        <v>11</v>
      </c>
      <c r="N388" t="str">
        <f>IF(tblCustomer[[#This Row],[Monthly Revenue]]&gt;=30000, "Tier 1 ", IF(tblCustomer[[#This Row],[Monthly Revenue]]&gt;= 15000,"Tier 2 ","Tier 3 "))</f>
        <v xml:space="preserve">Tier 2 </v>
      </c>
      <c r="O388" t="s">
        <v>1029</v>
      </c>
    </row>
    <row r="389" spans="1:15" x14ac:dyDescent="0.25">
      <c r="A389" t="s">
        <v>793</v>
      </c>
      <c r="B389" t="s">
        <v>794</v>
      </c>
      <c r="C389" t="s">
        <v>9</v>
      </c>
      <c r="D389" t="s">
        <v>71</v>
      </c>
      <c r="E389" t="s">
        <v>5</v>
      </c>
      <c r="F389">
        <v>2</v>
      </c>
      <c r="G389" t="b">
        <v>0</v>
      </c>
      <c r="H389" s="3">
        <v>21104</v>
      </c>
      <c r="I389" s="3">
        <v>253248</v>
      </c>
      <c r="J389">
        <v>3</v>
      </c>
      <c r="K389">
        <v>3.67</v>
      </c>
      <c r="L389">
        <v>30</v>
      </c>
      <c r="M389" t="s">
        <v>11</v>
      </c>
      <c r="N389" t="str">
        <f>IF(tblCustomer[[#This Row],[Monthly Revenue]]&gt;=30000, "Tier 1 ", IF(tblCustomer[[#This Row],[Monthly Revenue]]&gt;= 15000,"Tier 2 ","Tier 3 "))</f>
        <v xml:space="preserve">Tier 2 </v>
      </c>
      <c r="O389" t="s">
        <v>1031</v>
      </c>
    </row>
    <row r="390" spans="1:15" x14ac:dyDescent="0.25">
      <c r="A390" t="s">
        <v>795</v>
      </c>
      <c r="B390" t="s">
        <v>796</v>
      </c>
      <c r="C390" t="s">
        <v>14</v>
      </c>
      <c r="D390" t="s">
        <v>90</v>
      </c>
      <c r="E390" t="s">
        <v>22</v>
      </c>
      <c r="F390">
        <v>3</v>
      </c>
      <c r="G390" t="b">
        <v>0</v>
      </c>
      <c r="H390" s="3">
        <v>9552</v>
      </c>
      <c r="I390" s="3">
        <v>114624</v>
      </c>
      <c r="J390">
        <v>3</v>
      </c>
      <c r="K390">
        <v>4.33</v>
      </c>
      <c r="L390">
        <v>0</v>
      </c>
      <c r="M390" t="s">
        <v>11</v>
      </c>
      <c r="N390" t="str">
        <f>IF(tblCustomer[[#This Row],[Monthly Revenue]]&gt;=30000, "Tier 1 ", IF(tblCustomer[[#This Row],[Monthly Revenue]]&gt;= 15000,"Tier 2 ","Tier 3 "))</f>
        <v xml:space="preserve">Tier 3 </v>
      </c>
      <c r="O390" t="s">
        <v>1027</v>
      </c>
    </row>
    <row r="391" spans="1:15" x14ac:dyDescent="0.25">
      <c r="A391" t="s">
        <v>797</v>
      </c>
      <c r="B391" t="s">
        <v>798</v>
      </c>
      <c r="C391" t="s">
        <v>3</v>
      </c>
      <c r="D391" t="s">
        <v>4</v>
      </c>
      <c r="E391" t="s">
        <v>28</v>
      </c>
      <c r="F391">
        <v>14</v>
      </c>
      <c r="G391" t="b">
        <v>0</v>
      </c>
      <c r="H391" s="3">
        <v>30376</v>
      </c>
      <c r="I391" s="3">
        <v>364512</v>
      </c>
      <c r="J391">
        <v>5</v>
      </c>
      <c r="K391">
        <v>2.2000000000000002</v>
      </c>
      <c r="L391">
        <v>55</v>
      </c>
      <c r="M391" t="s">
        <v>6</v>
      </c>
      <c r="N391" t="str">
        <f>IF(tblCustomer[[#This Row],[Monthly Revenue]]&gt;=30000, "Tier 1 ", IF(tblCustomer[[#This Row],[Monthly Revenue]]&gt;= 15000,"Tier 2 ","Tier 3 "))</f>
        <v xml:space="preserve">Tier 1 </v>
      </c>
      <c r="O391" t="s">
        <v>1032</v>
      </c>
    </row>
    <row r="392" spans="1:15" x14ac:dyDescent="0.25">
      <c r="A392" t="s">
        <v>799</v>
      </c>
      <c r="B392" t="s">
        <v>800</v>
      </c>
      <c r="C392" t="s">
        <v>9</v>
      </c>
      <c r="D392" t="s">
        <v>10</v>
      </c>
      <c r="E392" t="s">
        <v>5</v>
      </c>
      <c r="F392">
        <v>19</v>
      </c>
      <c r="G392" t="b">
        <v>0</v>
      </c>
      <c r="H392" s="3">
        <v>21400</v>
      </c>
      <c r="I392" s="3">
        <v>256800</v>
      </c>
      <c r="J392">
        <v>3</v>
      </c>
      <c r="K392">
        <v>2.67</v>
      </c>
      <c r="L392">
        <v>0</v>
      </c>
      <c r="M392" t="s">
        <v>11</v>
      </c>
      <c r="N392" t="str">
        <f>IF(tblCustomer[[#This Row],[Monthly Revenue]]&gt;=30000, "Tier 1 ", IF(tblCustomer[[#This Row],[Monthly Revenue]]&gt;= 15000,"Tier 2 ","Tier 3 "))</f>
        <v xml:space="preserve">Tier 2 </v>
      </c>
      <c r="O392" t="s">
        <v>1030</v>
      </c>
    </row>
    <row r="393" spans="1:15" x14ac:dyDescent="0.25">
      <c r="A393" t="s">
        <v>801</v>
      </c>
      <c r="B393" t="s">
        <v>802</v>
      </c>
      <c r="C393" t="s">
        <v>9</v>
      </c>
      <c r="D393" t="s">
        <v>10</v>
      </c>
      <c r="E393" t="s">
        <v>28</v>
      </c>
      <c r="F393">
        <v>6</v>
      </c>
      <c r="G393" t="b">
        <v>0</v>
      </c>
      <c r="H393" s="3">
        <v>31108</v>
      </c>
      <c r="I393" s="3">
        <v>373296</v>
      </c>
      <c r="J393">
        <v>3</v>
      </c>
      <c r="K393">
        <v>2.33</v>
      </c>
      <c r="L393">
        <v>15</v>
      </c>
      <c r="M393" t="s">
        <v>11</v>
      </c>
      <c r="N393" t="str">
        <f>IF(tblCustomer[[#This Row],[Monthly Revenue]]&gt;=30000, "Tier 1 ", IF(tblCustomer[[#This Row],[Monthly Revenue]]&gt;= 15000,"Tier 2 ","Tier 3 "))</f>
        <v xml:space="preserve">Tier 1 </v>
      </c>
      <c r="O393" t="s">
        <v>1031</v>
      </c>
    </row>
    <row r="394" spans="1:15" x14ac:dyDescent="0.25">
      <c r="A394" t="s">
        <v>803</v>
      </c>
      <c r="B394" t="s">
        <v>804</v>
      </c>
      <c r="C394" t="s">
        <v>27</v>
      </c>
      <c r="D394" t="s">
        <v>4</v>
      </c>
      <c r="E394" t="s">
        <v>28</v>
      </c>
      <c r="F394">
        <v>30</v>
      </c>
      <c r="G394" t="b">
        <v>0</v>
      </c>
      <c r="H394" s="3">
        <v>36112</v>
      </c>
      <c r="I394" s="3">
        <v>433344</v>
      </c>
      <c r="J394">
        <v>2</v>
      </c>
      <c r="K394">
        <v>1.5</v>
      </c>
      <c r="L394">
        <v>45</v>
      </c>
      <c r="M394" t="s">
        <v>6</v>
      </c>
      <c r="N394" t="str">
        <f>IF(tblCustomer[[#This Row],[Monthly Revenue]]&gt;=30000, "Tier 1 ", IF(tblCustomer[[#This Row],[Monthly Revenue]]&gt;= 15000,"Tier 2 ","Tier 3 "))</f>
        <v xml:space="preserve">Tier 1 </v>
      </c>
      <c r="O394" t="s">
        <v>1027</v>
      </c>
    </row>
    <row r="395" spans="1:15" x14ac:dyDescent="0.25">
      <c r="A395" t="s">
        <v>805</v>
      </c>
      <c r="B395" t="s">
        <v>806</v>
      </c>
      <c r="C395" t="s">
        <v>9</v>
      </c>
      <c r="D395" t="s">
        <v>18</v>
      </c>
      <c r="E395" t="s">
        <v>5</v>
      </c>
      <c r="F395">
        <v>15</v>
      </c>
      <c r="G395" t="b">
        <v>0</v>
      </c>
      <c r="H395" s="3">
        <v>19597</v>
      </c>
      <c r="I395" s="3">
        <v>235164</v>
      </c>
      <c r="J395">
        <v>5</v>
      </c>
      <c r="K395">
        <v>2.6</v>
      </c>
      <c r="L395">
        <v>40</v>
      </c>
      <c r="M395" t="s">
        <v>6</v>
      </c>
      <c r="N395" t="str">
        <f>IF(tblCustomer[[#This Row],[Monthly Revenue]]&gt;=30000, "Tier 1 ", IF(tblCustomer[[#This Row],[Monthly Revenue]]&gt;= 15000,"Tier 2 ","Tier 3 "))</f>
        <v xml:space="preserve">Tier 2 </v>
      </c>
      <c r="O395" t="s">
        <v>1029</v>
      </c>
    </row>
    <row r="396" spans="1:15" x14ac:dyDescent="0.25">
      <c r="A396" t="s">
        <v>807</v>
      </c>
      <c r="B396" t="s">
        <v>808</v>
      </c>
      <c r="C396" t="s">
        <v>14</v>
      </c>
      <c r="D396" t="s">
        <v>90</v>
      </c>
      <c r="E396" t="s">
        <v>22</v>
      </c>
      <c r="F396">
        <v>20</v>
      </c>
      <c r="G396" t="b">
        <v>1</v>
      </c>
      <c r="H396" s="3">
        <v>17315</v>
      </c>
      <c r="I396" s="3">
        <v>207780</v>
      </c>
      <c r="J396">
        <v>2</v>
      </c>
      <c r="K396">
        <v>4.5</v>
      </c>
      <c r="L396">
        <v>30</v>
      </c>
      <c r="M396" t="s">
        <v>11</v>
      </c>
      <c r="N396" t="str">
        <f>IF(tblCustomer[[#This Row],[Monthly Revenue]]&gt;=30000, "Tier 1 ", IF(tblCustomer[[#This Row],[Monthly Revenue]]&gt;= 15000,"Tier 2 ","Tier 3 "))</f>
        <v xml:space="preserve">Tier 2 </v>
      </c>
      <c r="O396" t="s">
        <v>1027</v>
      </c>
    </row>
    <row r="397" spans="1:15" x14ac:dyDescent="0.25">
      <c r="A397" t="s">
        <v>809</v>
      </c>
      <c r="B397" t="s">
        <v>810</v>
      </c>
      <c r="C397" t="s">
        <v>14</v>
      </c>
      <c r="D397" t="s">
        <v>33</v>
      </c>
      <c r="E397" t="s">
        <v>5</v>
      </c>
      <c r="F397">
        <v>55</v>
      </c>
      <c r="G397" t="b">
        <v>1</v>
      </c>
      <c r="H397" s="3">
        <v>29884</v>
      </c>
      <c r="I397" s="3">
        <v>358608</v>
      </c>
      <c r="J397">
        <v>4</v>
      </c>
      <c r="K397">
        <v>2</v>
      </c>
      <c r="L397">
        <v>45</v>
      </c>
      <c r="M397" t="s">
        <v>6</v>
      </c>
      <c r="N397" t="str">
        <f>IF(tblCustomer[[#This Row],[Monthly Revenue]]&gt;=30000, "Tier 1 ", IF(tblCustomer[[#This Row],[Monthly Revenue]]&gt;= 15000,"Tier 2 ","Tier 3 "))</f>
        <v xml:space="preserve">Tier 2 </v>
      </c>
      <c r="O397" t="s">
        <v>1030</v>
      </c>
    </row>
    <row r="398" spans="1:15" x14ac:dyDescent="0.25">
      <c r="A398" t="s">
        <v>811</v>
      </c>
      <c r="B398" t="s">
        <v>812</v>
      </c>
      <c r="C398" t="s">
        <v>3</v>
      </c>
      <c r="D398" t="s">
        <v>4</v>
      </c>
      <c r="E398" t="s">
        <v>28</v>
      </c>
      <c r="F398">
        <v>7</v>
      </c>
      <c r="G398" t="b">
        <v>1</v>
      </c>
      <c r="H398" s="3">
        <v>14293</v>
      </c>
      <c r="I398" s="3">
        <v>171516</v>
      </c>
      <c r="J398">
        <v>7</v>
      </c>
      <c r="K398">
        <v>2.29</v>
      </c>
      <c r="L398">
        <v>25</v>
      </c>
      <c r="M398" t="s">
        <v>11</v>
      </c>
      <c r="N398" t="str">
        <f>IF(tblCustomer[[#This Row],[Monthly Revenue]]&gt;=30000, "Tier 1 ", IF(tblCustomer[[#This Row],[Monthly Revenue]]&gt;= 15000,"Tier 2 ","Tier 3 "))</f>
        <v xml:space="preserve">Tier 3 </v>
      </c>
      <c r="O398" t="s">
        <v>1028</v>
      </c>
    </row>
    <row r="399" spans="1:15" x14ac:dyDescent="0.25">
      <c r="A399" t="s">
        <v>813</v>
      </c>
      <c r="B399" t="s">
        <v>814</v>
      </c>
      <c r="C399" t="s">
        <v>17</v>
      </c>
      <c r="D399" t="s">
        <v>18</v>
      </c>
      <c r="E399" t="s">
        <v>5</v>
      </c>
      <c r="F399">
        <v>17</v>
      </c>
      <c r="G399" t="b">
        <v>0</v>
      </c>
      <c r="H399" s="3">
        <v>18909</v>
      </c>
      <c r="I399" s="3">
        <v>226908</v>
      </c>
      <c r="J399">
        <v>2</v>
      </c>
      <c r="K399">
        <v>3</v>
      </c>
      <c r="L399">
        <v>30</v>
      </c>
      <c r="M399" t="s">
        <v>11</v>
      </c>
      <c r="N399" t="str">
        <f>IF(tblCustomer[[#This Row],[Monthly Revenue]]&gt;=30000, "Tier 1 ", IF(tblCustomer[[#This Row],[Monthly Revenue]]&gt;= 15000,"Tier 2 ","Tier 3 "))</f>
        <v xml:space="preserve">Tier 2 </v>
      </c>
      <c r="O399" t="s">
        <v>1030</v>
      </c>
    </row>
    <row r="400" spans="1:15" x14ac:dyDescent="0.25">
      <c r="A400" t="s">
        <v>815</v>
      </c>
      <c r="B400" t="s">
        <v>816</v>
      </c>
      <c r="C400" t="s">
        <v>17</v>
      </c>
      <c r="D400" t="s">
        <v>54</v>
      </c>
      <c r="E400" t="s">
        <v>5</v>
      </c>
      <c r="F400">
        <v>1</v>
      </c>
      <c r="G400" t="b">
        <v>0</v>
      </c>
      <c r="H400" s="3">
        <v>9640</v>
      </c>
      <c r="I400" s="3">
        <v>115680</v>
      </c>
      <c r="J400">
        <v>3</v>
      </c>
      <c r="K400">
        <v>2.67</v>
      </c>
      <c r="L400">
        <v>0</v>
      </c>
      <c r="M400" t="s">
        <v>11</v>
      </c>
      <c r="N400" t="str">
        <f>IF(tblCustomer[[#This Row],[Monthly Revenue]]&gt;=30000, "Tier 1 ", IF(tblCustomer[[#This Row],[Monthly Revenue]]&gt;= 15000,"Tier 2 ","Tier 3 "))</f>
        <v xml:space="preserve">Tier 3 </v>
      </c>
      <c r="O400" t="s">
        <v>1028</v>
      </c>
    </row>
    <row r="401" spans="1:15" x14ac:dyDescent="0.25">
      <c r="A401" t="s">
        <v>817</v>
      </c>
      <c r="B401" t="s">
        <v>818</v>
      </c>
      <c r="C401" t="s">
        <v>9</v>
      </c>
      <c r="D401" t="s">
        <v>4</v>
      </c>
      <c r="E401" t="s">
        <v>28</v>
      </c>
      <c r="F401">
        <v>69</v>
      </c>
      <c r="G401" t="b">
        <v>1</v>
      </c>
      <c r="H401" s="3">
        <v>64653</v>
      </c>
      <c r="I401" s="3">
        <v>775836</v>
      </c>
      <c r="J401">
        <v>5</v>
      </c>
      <c r="K401">
        <v>4.5999999999999996</v>
      </c>
      <c r="L401">
        <v>40</v>
      </c>
      <c r="M401" t="s">
        <v>6</v>
      </c>
      <c r="N401" t="str">
        <f>IF(tblCustomer[[#This Row],[Monthly Revenue]]&gt;=30000, "Tier 1 ", IF(tblCustomer[[#This Row],[Monthly Revenue]]&gt;= 15000,"Tier 2 ","Tier 3 "))</f>
        <v xml:space="preserve">Tier 1 </v>
      </c>
      <c r="O401" t="s">
        <v>1031</v>
      </c>
    </row>
    <row r="402" spans="1:15" x14ac:dyDescent="0.25">
      <c r="A402" t="s">
        <v>819</v>
      </c>
      <c r="B402" t="s">
        <v>820</v>
      </c>
      <c r="C402" t="s">
        <v>9</v>
      </c>
      <c r="D402" t="s">
        <v>4</v>
      </c>
      <c r="E402" t="s">
        <v>28</v>
      </c>
      <c r="F402">
        <v>28</v>
      </c>
      <c r="G402" t="b">
        <v>1</v>
      </c>
      <c r="H402" s="3">
        <v>23800</v>
      </c>
      <c r="I402" s="3">
        <v>285600</v>
      </c>
      <c r="J402">
        <v>8</v>
      </c>
      <c r="K402">
        <v>2.88</v>
      </c>
      <c r="L402">
        <v>50</v>
      </c>
      <c r="M402" t="s">
        <v>6</v>
      </c>
      <c r="N402" t="str">
        <f>IF(tblCustomer[[#This Row],[Monthly Revenue]]&gt;=30000, "Tier 1 ", IF(tblCustomer[[#This Row],[Monthly Revenue]]&gt;= 15000,"Tier 2 ","Tier 3 "))</f>
        <v xml:space="preserve">Tier 2 </v>
      </c>
      <c r="O402" t="s">
        <v>1031</v>
      </c>
    </row>
    <row r="403" spans="1:15" x14ac:dyDescent="0.25">
      <c r="A403" t="s">
        <v>821</v>
      </c>
      <c r="B403" t="s">
        <v>822</v>
      </c>
      <c r="C403" t="s">
        <v>27</v>
      </c>
      <c r="D403" t="s">
        <v>4</v>
      </c>
      <c r="E403" t="s">
        <v>28</v>
      </c>
      <c r="F403">
        <v>7</v>
      </c>
      <c r="G403" t="b">
        <v>0</v>
      </c>
      <c r="H403" s="3">
        <v>10636</v>
      </c>
      <c r="I403" s="3">
        <v>127632</v>
      </c>
      <c r="J403">
        <v>3</v>
      </c>
      <c r="K403">
        <v>1</v>
      </c>
      <c r="L403">
        <v>60</v>
      </c>
      <c r="M403" t="s">
        <v>19</v>
      </c>
      <c r="N403" t="str">
        <f>IF(tblCustomer[[#This Row],[Monthly Revenue]]&gt;=30000, "Tier 1 ", IF(tblCustomer[[#This Row],[Monthly Revenue]]&gt;= 15000,"Tier 2 ","Tier 3 "))</f>
        <v xml:space="preserve">Tier 3 </v>
      </c>
      <c r="O403" t="s">
        <v>1028</v>
      </c>
    </row>
    <row r="404" spans="1:15" x14ac:dyDescent="0.25">
      <c r="A404" t="s">
        <v>823</v>
      </c>
      <c r="B404" t="s">
        <v>824</v>
      </c>
      <c r="C404" t="s">
        <v>27</v>
      </c>
      <c r="D404" t="s">
        <v>18</v>
      </c>
      <c r="E404" t="s">
        <v>22</v>
      </c>
      <c r="F404">
        <v>22</v>
      </c>
      <c r="G404" t="b">
        <v>0</v>
      </c>
      <c r="H404" s="3">
        <v>68489</v>
      </c>
      <c r="I404" s="3">
        <v>821868</v>
      </c>
      <c r="J404">
        <v>4</v>
      </c>
      <c r="K404">
        <v>2.75</v>
      </c>
      <c r="L404">
        <v>30</v>
      </c>
      <c r="M404" t="s">
        <v>11</v>
      </c>
      <c r="N404" t="str">
        <f>IF(tblCustomer[[#This Row],[Monthly Revenue]]&gt;=30000, "Tier 1 ", IF(tblCustomer[[#This Row],[Monthly Revenue]]&gt;= 15000,"Tier 2 ","Tier 3 "))</f>
        <v xml:space="preserve">Tier 1 </v>
      </c>
      <c r="O404" t="s">
        <v>1028</v>
      </c>
    </row>
    <row r="405" spans="1:15" x14ac:dyDescent="0.25">
      <c r="A405" t="s">
        <v>825</v>
      </c>
      <c r="B405" t="s">
        <v>826</v>
      </c>
      <c r="C405" t="s">
        <v>9</v>
      </c>
      <c r="D405" t="s">
        <v>4</v>
      </c>
      <c r="E405" t="s">
        <v>5</v>
      </c>
      <c r="F405">
        <v>117</v>
      </c>
      <c r="G405" t="b">
        <v>0</v>
      </c>
      <c r="H405" s="3">
        <v>138060</v>
      </c>
      <c r="I405" s="3">
        <v>1656720</v>
      </c>
      <c r="J405">
        <v>4</v>
      </c>
      <c r="K405">
        <v>2</v>
      </c>
      <c r="L405">
        <v>15</v>
      </c>
      <c r="M405" t="s">
        <v>11</v>
      </c>
      <c r="N405" t="str">
        <f>IF(tblCustomer[[#This Row],[Monthly Revenue]]&gt;=30000, "Tier 1 ", IF(tblCustomer[[#This Row],[Monthly Revenue]]&gt;= 15000,"Tier 2 ","Tier 3 "))</f>
        <v xml:space="preserve">Tier 1 </v>
      </c>
      <c r="O405" t="s">
        <v>1031</v>
      </c>
    </row>
    <row r="406" spans="1:15" x14ac:dyDescent="0.25">
      <c r="A406" t="s">
        <v>827</v>
      </c>
      <c r="B406" t="s">
        <v>828</v>
      </c>
      <c r="C406" t="s">
        <v>17</v>
      </c>
      <c r="D406" t="s">
        <v>10</v>
      </c>
      <c r="E406" t="s">
        <v>28</v>
      </c>
      <c r="F406">
        <v>3</v>
      </c>
      <c r="G406" t="b">
        <v>0</v>
      </c>
      <c r="H406" s="3">
        <v>5384</v>
      </c>
      <c r="I406" s="3">
        <v>64608</v>
      </c>
      <c r="J406">
        <v>5</v>
      </c>
      <c r="K406">
        <v>2.8</v>
      </c>
      <c r="L406">
        <v>10</v>
      </c>
      <c r="M406" t="s">
        <v>11</v>
      </c>
      <c r="N406" t="str">
        <f>IF(tblCustomer[[#This Row],[Monthly Revenue]]&gt;=30000, "Tier 1 ", IF(tblCustomer[[#This Row],[Monthly Revenue]]&gt;= 15000,"Tier 2 ","Tier 3 "))</f>
        <v xml:space="preserve">Tier 3 </v>
      </c>
      <c r="O406" t="s">
        <v>1032</v>
      </c>
    </row>
    <row r="407" spans="1:15" x14ac:dyDescent="0.25">
      <c r="A407" t="s">
        <v>829</v>
      </c>
      <c r="B407" t="s">
        <v>830</v>
      </c>
      <c r="C407" t="s">
        <v>3</v>
      </c>
      <c r="D407" t="s">
        <v>33</v>
      </c>
      <c r="E407" t="s">
        <v>5</v>
      </c>
      <c r="F407">
        <v>4</v>
      </c>
      <c r="G407" t="b">
        <v>0</v>
      </c>
      <c r="H407" s="3">
        <v>16516</v>
      </c>
      <c r="I407" s="3">
        <v>198192</v>
      </c>
      <c r="J407">
        <v>3</v>
      </c>
      <c r="K407">
        <v>1.33</v>
      </c>
      <c r="L407">
        <v>60</v>
      </c>
      <c r="M407" t="s">
        <v>19</v>
      </c>
      <c r="N407" t="str">
        <f>IF(tblCustomer[[#This Row],[Monthly Revenue]]&gt;=30000, "Tier 1 ", IF(tblCustomer[[#This Row],[Monthly Revenue]]&gt;= 15000,"Tier 2 ","Tier 3 "))</f>
        <v xml:space="preserve">Tier 2 </v>
      </c>
      <c r="O407" t="s">
        <v>1029</v>
      </c>
    </row>
    <row r="408" spans="1:15" x14ac:dyDescent="0.25">
      <c r="A408" t="s">
        <v>831</v>
      </c>
      <c r="B408" t="s">
        <v>832</v>
      </c>
      <c r="C408" t="s">
        <v>17</v>
      </c>
      <c r="D408" t="s">
        <v>4</v>
      </c>
      <c r="E408" t="s">
        <v>22</v>
      </c>
      <c r="F408">
        <v>21</v>
      </c>
      <c r="G408" t="b">
        <v>0</v>
      </c>
      <c r="H408" s="3">
        <v>6025</v>
      </c>
      <c r="I408" s="3">
        <v>72300</v>
      </c>
      <c r="J408">
        <v>4</v>
      </c>
      <c r="K408">
        <v>3</v>
      </c>
      <c r="L408">
        <v>0</v>
      </c>
      <c r="M408" t="s">
        <v>11</v>
      </c>
      <c r="N408" t="str">
        <f>IF(tblCustomer[[#This Row],[Monthly Revenue]]&gt;=30000, "Tier 1 ", IF(tblCustomer[[#This Row],[Monthly Revenue]]&gt;= 15000,"Tier 2 ","Tier 3 "))</f>
        <v xml:space="preserve">Tier 3 </v>
      </c>
      <c r="O408" t="s">
        <v>1030</v>
      </c>
    </row>
    <row r="409" spans="1:15" x14ac:dyDescent="0.25">
      <c r="A409" t="s">
        <v>833</v>
      </c>
      <c r="B409" t="s">
        <v>834</v>
      </c>
      <c r="C409" t="s">
        <v>17</v>
      </c>
      <c r="D409" t="s">
        <v>18</v>
      </c>
      <c r="E409" t="s">
        <v>22</v>
      </c>
      <c r="F409">
        <v>3</v>
      </c>
      <c r="G409" t="b">
        <v>0</v>
      </c>
      <c r="H409" s="3">
        <v>3389</v>
      </c>
      <c r="I409" s="3">
        <v>40668</v>
      </c>
      <c r="J409">
        <v>5</v>
      </c>
      <c r="K409">
        <v>2.4</v>
      </c>
      <c r="L409">
        <v>25</v>
      </c>
      <c r="M409" t="s">
        <v>11</v>
      </c>
      <c r="N409" t="str">
        <f>IF(tblCustomer[[#This Row],[Monthly Revenue]]&gt;=30000, "Tier 1 ", IF(tblCustomer[[#This Row],[Monthly Revenue]]&gt;= 15000,"Tier 2 ","Tier 3 "))</f>
        <v xml:space="preserve">Tier 3 </v>
      </c>
      <c r="O409" t="s">
        <v>1031</v>
      </c>
    </row>
    <row r="410" spans="1:15" x14ac:dyDescent="0.25">
      <c r="A410" t="s">
        <v>835</v>
      </c>
      <c r="B410" t="s">
        <v>836</v>
      </c>
      <c r="C410" t="s">
        <v>27</v>
      </c>
      <c r="D410" t="s">
        <v>18</v>
      </c>
      <c r="E410" t="s">
        <v>28</v>
      </c>
      <c r="F410">
        <v>10</v>
      </c>
      <c r="G410" t="b">
        <v>0</v>
      </c>
      <c r="H410" s="3">
        <v>190</v>
      </c>
      <c r="I410" s="3">
        <v>2280</v>
      </c>
      <c r="J410">
        <v>6</v>
      </c>
      <c r="K410">
        <v>2.83</v>
      </c>
      <c r="L410">
        <v>40</v>
      </c>
      <c r="M410" t="s">
        <v>6</v>
      </c>
      <c r="N410" t="str">
        <f>IF(tblCustomer[[#This Row],[Monthly Revenue]]&gt;=30000, "Tier 1 ", IF(tblCustomer[[#This Row],[Monthly Revenue]]&gt;= 15000,"Tier 2 ","Tier 3 "))</f>
        <v xml:space="preserve">Tier 3 </v>
      </c>
      <c r="O410" t="s">
        <v>1029</v>
      </c>
    </row>
    <row r="411" spans="1:15" x14ac:dyDescent="0.25">
      <c r="A411" t="s">
        <v>837</v>
      </c>
      <c r="B411" t="s">
        <v>838</v>
      </c>
      <c r="C411" t="s">
        <v>14</v>
      </c>
      <c r="D411" t="s">
        <v>4</v>
      </c>
      <c r="E411" t="s">
        <v>22</v>
      </c>
      <c r="F411">
        <v>6</v>
      </c>
      <c r="G411" t="b">
        <v>0</v>
      </c>
      <c r="H411" s="3">
        <v>4544</v>
      </c>
      <c r="I411" s="3">
        <v>54528</v>
      </c>
      <c r="J411">
        <v>2</v>
      </c>
      <c r="K411">
        <v>2.5</v>
      </c>
      <c r="L411">
        <v>30</v>
      </c>
      <c r="M411" t="s">
        <v>11</v>
      </c>
      <c r="N411" t="str">
        <f>IF(tblCustomer[[#This Row],[Monthly Revenue]]&gt;=30000, "Tier 1 ", IF(tblCustomer[[#This Row],[Monthly Revenue]]&gt;= 15000,"Tier 2 ","Tier 3 "))</f>
        <v xml:space="preserve">Tier 3 </v>
      </c>
      <c r="O411" t="s">
        <v>1030</v>
      </c>
    </row>
    <row r="412" spans="1:15" x14ac:dyDescent="0.25">
      <c r="A412" t="s">
        <v>839</v>
      </c>
      <c r="B412" t="s">
        <v>840</v>
      </c>
      <c r="C412" t="s">
        <v>9</v>
      </c>
      <c r="D412" t="s">
        <v>4</v>
      </c>
      <c r="E412" t="s">
        <v>28</v>
      </c>
      <c r="F412">
        <v>44</v>
      </c>
      <c r="G412" t="b">
        <v>0</v>
      </c>
      <c r="H412" s="3">
        <v>16896</v>
      </c>
      <c r="I412" s="3">
        <v>202752</v>
      </c>
      <c r="J412">
        <v>3</v>
      </c>
      <c r="K412">
        <v>2</v>
      </c>
      <c r="L412">
        <v>45</v>
      </c>
      <c r="M412" t="s">
        <v>6</v>
      </c>
      <c r="N412" t="str">
        <f>IF(tblCustomer[[#This Row],[Monthly Revenue]]&gt;=30000, "Tier 1 ", IF(tblCustomer[[#This Row],[Monthly Revenue]]&gt;= 15000,"Tier 2 ","Tier 3 "))</f>
        <v xml:space="preserve">Tier 2 </v>
      </c>
      <c r="O412" t="s">
        <v>1028</v>
      </c>
    </row>
    <row r="413" spans="1:15" x14ac:dyDescent="0.25">
      <c r="A413" t="s">
        <v>841</v>
      </c>
      <c r="B413" t="s">
        <v>842</v>
      </c>
      <c r="C413" t="s">
        <v>27</v>
      </c>
      <c r="D413" t="s">
        <v>18</v>
      </c>
      <c r="E413" t="s">
        <v>22</v>
      </c>
      <c r="F413">
        <v>1</v>
      </c>
      <c r="G413" t="b">
        <v>0</v>
      </c>
      <c r="H413" s="3">
        <v>4910</v>
      </c>
      <c r="I413" s="3">
        <v>58920</v>
      </c>
      <c r="J413">
        <v>3</v>
      </c>
      <c r="K413">
        <v>4.67</v>
      </c>
      <c r="L413">
        <v>30</v>
      </c>
      <c r="M413" t="s">
        <v>11</v>
      </c>
      <c r="N413" t="str">
        <f>IF(tblCustomer[[#This Row],[Monthly Revenue]]&gt;=30000, "Tier 1 ", IF(tblCustomer[[#This Row],[Monthly Revenue]]&gt;= 15000,"Tier 2 ","Tier 3 "))</f>
        <v xml:space="preserve">Tier 3 </v>
      </c>
      <c r="O413" t="s">
        <v>1027</v>
      </c>
    </row>
    <row r="414" spans="1:15" x14ac:dyDescent="0.25">
      <c r="A414" t="s">
        <v>843</v>
      </c>
      <c r="B414" t="s">
        <v>844</v>
      </c>
      <c r="C414" t="s">
        <v>27</v>
      </c>
      <c r="D414" t="s">
        <v>90</v>
      </c>
      <c r="E414" t="s">
        <v>28</v>
      </c>
      <c r="F414">
        <v>39</v>
      </c>
      <c r="G414" t="b">
        <v>0</v>
      </c>
      <c r="H414" s="3">
        <v>52089</v>
      </c>
      <c r="I414" s="3">
        <v>625068</v>
      </c>
      <c r="J414">
        <v>7</v>
      </c>
      <c r="K414">
        <v>1.86</v>
      </c>
      <c r="L414">
        <v>25</v>
      </c>
      <c r="M414" t="s">
        <v>11</v>
      </c>
      <c r="N414" t="str">
        <f>IF(tblCustomer[[#This Row],[Monthly Revenue]]&gt;=30000, "Tier 1 ", IF(tblCustomer[[#This Row],[Monthly Revenue]]&gt;= 15000,"Tier 2 ","Tier 3 "))</f>
        <v xml:space="preserve">Tier 1 </v>
      </c>
      <c r="O414" t="s">
        <v>1029</v>
      </c>
    </row>
    <row r="415" spans="1:15" x14ac:dyDescent="0.25">
      <c r="A415" t="s">
        <v>845</v>
      </c>
      <c r="B415" t="s">
        <v>846</v>
      </c>
      <c r="C415" t="s">
        <v>17</v>
      </c>
      <c r="D415" t="s">
        <v>4</v>
      </c>
      <c r="E415" t="s">
        <v>28</v>
      </c>
      <c r="F415">
        <v>4</v>
      </c>
      <c r="G415" t="b">
        <v>0</v>
      </c>
      <c r="H415" s="3">
        <v>12671</v>
      </c>
      <c r="I415" s="3">
        <v>152052</v>
      </c>
      <c r="J415">
        <v>7</v>
      </c>
      <c r="K415">
        <v>3.14</v>
      </c>
      <c r="L415">
        <v>40</v>
      </c>
      <c r="M415" t="s">
        <v>6</v>
      </c>
      <c r="N415" t="str">
        <f>IF(tblCustomer[[#This Row],[Monthly Revenue]]&gt;=30000, "Tier 1 ", IF(tblCustomer[[#This Row],[Monthly Revenue]]&gt;= 15000,"Tier 2 ","Tier 3 "))</f>
        <v xml:space="preserve">Tier 3 </v>
      </c>
      <c r="O415" t="s">
        <v>1032</v>
      </c>
    </row>
    <row r="416" spans="1:15" x14ac:dyDescent="0.25">
      <c r="A416" t="s">
        <v>847</v>
      </c>
      <c r="B416" t="s">
        <v>848</v>
      </c>
      <c r="C416" t="s">
        <v>27</v>
      </c>
      <c r="D416" t="s">
        <v>4</v>
      </c>
      <c r="E416" t="s">
        <v>5</v>
      </c>
      <c r="F416">
        <v>29</v>
      </c>
      <c r="G416" t="b">
        <v>0</v>
      </c>
      <c r="H416" s="3">
        <v>20612</v>
      </c>
      <c r="I416" s="3">
        <v>247344</v>
      </c>
      <c r="J416">
        <v>5</v>
      </c>
      <c r="K416">
        <v>2.2000000000000002</v>
      </c>
      <c r="L416">
        <v>25</v>
      </c>
      <c r="M416" t="s">
        <v>11</v>
      </c>
      <c r="N416" t="str">
        <f>IF(tblCustomer[[#This Row],[Monthly Revenue]]&gt;=30000, "Tier 1 ", IF(tblCustomer[[#This Row],[Monthly Revenue]]&gt;= 15000,"Tier 2 ","Tier 3 "))</f>
        <v xml:space="preserve">Tier 2 </v>
      </c>
      <c r="O416" t="s">
        <v>1030</v>
      </c>
    </row>
    <row r="417" spans="1:15" x14ac:dyDescent="0.25">
      <c r="A417" t="s">
        <v>849</v>
      </c>
      <c r="B417" t="s">
        <v>850</v>
      </c>
      <c r="C417" t="s">
        <v>27</v>
      </c>
      <c r="D417" t="s">
        <v>54</v>
      </c>
      <c r="E417" t="s">
        <v>28</v>
      </c>
      <c r="F417">
        <v>19</v>
      </c>
      <c r="G417" t="b">
        <v>1</v>
      </c>
      <c r="H417" s="3">
        <v>13295</v>
      </c>
      <c r="I417" s="3">
        <v>159540</v>
      </c>
      <c r="J417">
        <v>2</v>
      </c>
      <c r="K417">
        <v>2.5</v>
      </c>
      <c r="L417">
        <v>30</v>
      </c>
      <c r="M417" t="s">
        <v>11</v>
      </c>
      <c r="N417" t="str">
        <f>IF(tblCustomer[[#This Row],[Monthly Revenue]]&gt;=30000, "Tier 1 ", IF(tblCustomer[[#This Row],[Monthly Revenue]]&gt;= 15000,"Tier 2 ","Tier 3 "))</f>
        <v xml:space="preserve">Tier 3 </v>
      </c>
      <c r="O417" t="s">
        <v>1028</v>
      </c>
    </row>
    <row r="418" spans="1:15" x14ac:dyDescent="0.25">
      <c r="A418" t="s">
        <v>851</v>
      </c>
      <c r="B418" t="s">
        <v>852</v>
      </c>
      <c r="C418" t="s">
        <v>9</v>
      </c>
      <c r="D418" t="s">
        <v>33</v>
      </c>
      <c r="E418" t="s">
        <v>22</v>
      </c>
      <c r="F418">
        <v>50</v>
      </c>
      <c r="G418" t="b">
        <v>0</v>
      </c>
      <c r="H418" s="3">
        <v>48647</v>
      </c>
      <c r="I418" s="3">
        <v>583764</v>
      </c>
      <c r="J418">
        <v>6</v>
      </c>
      <c r="K418">
        <v>2.67</v>
      </c>
      <c r="L418">
        <v>40</v>
      </c>
      <c r="M418" t="s">
        <v>6</v>
      </c>
      <c r="N418" t="str">
        <f>IF(tblCustomer[[#This Row],[Monthly Revenue]]&gt;=30000, "Tier 1 ", IF(tblCustomer[[#This Row],[Monthly Revenue]]&gt;= 15000,"Tier 2 ","Tier 3 "))</f>
        <v xml:space="preserve">Tier 1 </v>
      </c>
      <c r="O418" t="s">
        <v>1030</v>
      </c>
    </row>
    <row r="419" spans="1:15" x14ac:dyDescent="0.25">
      <c r="A419" t="s">
        <v>853</v>
      </c>
      <c r="B419" t="s">
        <v>854</v>
      </c>
      <c r="C419" t="s">
        <v>9</v>
      </c>
      <c r="D419" t="s">
        <v>10</v>
      </c>
      <c r="E419" t="s">
        <v>22</v>
      </c>
      <c r="F419">
        <v>13</v>
      </c>
      <c r="G419" t="b">
        <v>1</v>
      </c>
      <c r="H419" s="3">
        <v>21450</v>
      </c>
      <c r="I419" s="3">
        <v>257400</v>
      </c>
      <c r="J419">
        <v>4</v>
      </c>
      <c r="K419">
        <v>3.25</v>
      </c>
      <c r="L419">
        <v>30</v>
      </c>
      <c r="M419" t="s">
        <v>11</v>
      </c>
      <c r="N419" t="str">
        <f>IF(tblCustomer[[#This Row],[Monthly Revenue]]&gt;=30000, "Tier 1 ", IF(tblCustomer[[#This Row],[Monthly Revenue]]&gt;= 15000,"Tier 2 ","Tier 3 "))</f>
        <v xml:space="preserve">Tier 2 </v>
      </c>
      <c r="O419" t="s">
        <v>1028</v>
      </c>
    </row>
    <row r="420" spans="1:15" x14ac:dyDescent="0.25">
      <c r="A420" t="s">
        <v>855</v>
      </c>
      <c r="B420" t="s">
        <v>856</v>
      </c>
      <c r="C420" t="s">
        <v>14</v>
      </c>
      <c r="D420" t="s">
        <v>71</v>
      </c>
      <c r="E420" t="s">
        <v>5</v>
      </c>
      <c r="F420">
        <v>23</v>
      </c>
      <c r="G420" t="b">
        <v>0</v>
      </c>
      <c r="H420" s="3">
        <v>23359</v>
      </c>
      <c r="I420" s="3">
        <v>280308</v>
      </c>
      <c r="J420">
        <v>5</v>
      </c>
      <c r="K420">
        <v>2.4</v>
      </c>
      <c r="L420">
        <v>55</v>
      </c>
      <c r="M420" t="s">
        <v>6</v>
      </c>
      <c r="N420" t="str">
        <f>IF(tblCustomer[[#This Row],[Monthly Revenue]]&gt;=30000, "Tier 1 ", IF(tblCustomer[[#This Row],[Monthly Revenue]]&gt;= 15000,"Tier 2 ","Tier 3 "))</f>
        <v xml:space="preserve">Tier 2 </v>
      </c>
      <c r="O420" t="s">
        <v>1029</v>
      </c>
    </row>
    <row r="421" spans="1:15" x14ac:dyDescent="0.25">
      <c r="A421" t="s">
        <v>857</v>
      </c>
      <c r="B421" t="s">
        <v>858</v>
      </c>
      <c r="C421" t="s">
        <v>14</v>
      </c>
      <c r="D421" t="s">
        <v>4</v>
      </c>
      <c r="E421" t="s">
        <v>5</v>
      </c>
      <c r="F421">
        <v>13</v>
      </c>
      <c r="G421" t="b">
        <v>0</v>
      </c>
      <c r="H421" s="3">
        <v>2622</v>
      </c>
      <c r="I421" s="3">
        <v>31464</v>
      </c>
      <c r="J421">
        <v>3</v>
      </c>
      <c r="K421">
        <v>2.33</v>
      </c>
      <c r="L421">
        <v>15</v>
      </c>
      <c r="M421" t="s">
        <v>11</v>
      </c>
      <c r="N421" t="str">
        <f>IF(tblCustomer[[#This Row],[Monthly Revenue]]&gt;=30000, "Tier 1 ", IF(tblCustomer[[#This Row],[Monthly Revenue]]&gt;= 15000,"Tier 2 ","Tier 3 "))</f>
        <v xml:space="preserve">Tier 3 </v>
      </c>
      <c r="O421" t="s">
        <v>1028</v>
      </c>
    </row>
    <row r="422" spans="1:15" x14ac:dyDescent="0.25">
      <c r="A422" t="s">
        <v>859</v>
      </c>
      <c r="B422" t="s">
        <v>860</v>
      </c>
      <c r="C422" t="s">
        <v>27</v>
      </c>
      <c r="D422" t="s">
        <v>4</v>
      </c>
      <c r="E422" t="s">
        <v>28</v>
      </c>
      <c r="F422">
        <v>6</v>
      </c>
      <c r="G422" t="b">
        <v>0</v>
      </c>
      <c r="H422" s="3">
        <v>21324</v>
      </c>
      <c r="I422" s="3">
        <v>255888</v>
      </c>
      <c r="J422">
        <v>1</v>
      </c>
      <c r="K422">
        <v>4</v>
      </c>
      <c r="L422">
        <v>0</v>
      </c>
      <c r="M422" t="s">
        <v>11</v>
      </c>
      <c r="N422" t="str">
        <f>IF(tblCustomer[[#This Row],[Monthly Revenue]]&gt;=30000, "Tier 1 ", IF(tblCustomer[[#This Row],[Monthly Revenue]]&gt;= 15000,"Tier 2 ","Tier 3 "))</f>
        <v xml:space="preserve">Tier 2 </v>
      </c>
      <c r="O422" t="s">
        <v>1032</v>
      </c>
    </row>
    <row r="423" spans="1:15" x14ac:dyDescent="0.25">
      <c r="A423" t="s">
        <v>861</v>
      </c>
      <c r="B423" t="s">
        <v>862</v>
      </c>
      <c r="C423" t="s">
        <v>14</v>
      </c>
      <c r="D423" t="s">
        <v>4</v>
      </c>
      <c r="E423" t="s">
        <v>5</v>
      </c>
      <c r="F423">
        <v>12</v>
      </c>
      <c r="G423" t="b">
        <v>1</v>
      </c>
      <c r="H423" s="3">
        <v>7415</v>
      </c>
      <c r="I423" s="3">
        <v>88980</v>
      </c>
      <c r="J423">
        <v>0</v>
      </c>
      <c r="K423">
        <v>0</v>
      </c>
      <c r="L423">
        <v>30</v>
      </c>
      <c r="M423" t="s">
        <v>11</v>
      </c>
      <c r="N423" t="str">
        <f>IF(tblCustomer[[#This Row],[Monthly Revenue]]&gt;=30000, "Tier 1 ", IF(tblCustomer[[#This Row],[Monthly Revenue]]&gt;= 15000,"Tier 2 ","Tier 3 "))</f>
        <v xml:space="preserve">Tier 3 </v>
      </c>
      <c r="O423" t="s">
        <v>1032</v>
      </c>
    </row>
    <row r="424" spans="1:15" x14ac:dyDescent="0.25">
      <c r="A424" t="s">
        <v>863</v>
      </c>
      <c r="B424" t="s">
        <v>864</v>
      </c>
      <c r="C424" t="s">
        <v>9</v>
      </c>
      <c r="D424" t="s">
        <v>71</v>
      </c>
      <c r="E424" t="s">
        <v>28</v>
      </c>
      <c r="F424">
        <v>9</v>
      </c>
      <c r="G424" t="b">
        <v>0</v>
      </c>
      <c r="H424" s="3">
        <v>4194</v>
      </c>
      <c r="I424" s="3">
        <v>50328</v>
      </c>
      <c r="J424">
        <v>6</v>
      </c>
      <c r="K424">
        <v>2.83</v>
      </c>
      <c r="L424">
        <v>40</v>
      </c>
      <c r="M424" t="s">
        <v>6</v>
      </c>
      <c r="N424" t="str">
        <f>IF(tblCustomer[[#This Row],[Monthly Revenue]]&gt;=30000, "Tier 1 ", IF(tblCustomer[[#This Row],[Monthly Revenue]]&gt;= 15000,"Tier 2 ","Tier 3 "))</f>
        <v xml:space="preserve">Tier 3 </v>
      </c>
      <c r="O424" t="s">
        <v>1027</v>
      </c>
    </row>
    <row r="425" spans="1:15" x14ac:dyDescent="0.25">
      <c r="A425" t="s">
        <v>865</v>
      </c>
      <c r="B425" t="s">
        <v>866</v>
      </c>
      <c r="C425" t="s">
        <v>3</v>
      </c>
      <c r="D425" t="s">
        <v>4</v>
      </c>
      <c r="E425" t="s">
        <v>22</v>
      </c>
      <c r="F425">
        <v>6</v>
      </c>
      <c r="G425" t="b">
        <v>0</v>
      </c>
      <c r="H425" s="3">
        <v>8522</v>
      </c>
      <c r="I425" s="3">
        <v>102264</v>
      </c>
      <c r="J425">
        <v>6</v>
      </c>
      <c r="K425">
        <v>2.83</v>
      </c>
      <c r="L425">
        <v>40</v>
      </c>
      <c r="M425" t="s">
        <v>6</v>
      </c>
      <c r="N425" t="str">
        <f>IF(tblCustomer[[#This Row],[Monthly Revenue]]&gt;=30000, "Tier 1 ", IF(tblCustomer[[#This Row],[Monthly Revenue]]&gt;= 15000,"Tier 2 ","Tier 3 "))</f>
        <v xml:space="preserve">Tier 3 </v>
      </c>
      <c r="O425" t="s">
        <v>1030</v>
      </c>
    </row>
    <row r="426" spans="1:15" x14ac:dyDescent="0.25">
      <c r="A426" t="s">
        <v>867</v>
      </c>
      <c r="B426" t="s">
        <v>868</v>
      </c>
      <c r="C426" t="s">
        <v>27</v>
      </c>
      <c r="D426" t="s">
        <v>4</v>
      </c>
      <c r="E426" t="s">
        <v>28</v>
      </c>
      <c r="F426">
        <v>30</v>
      </c>
      <c r="G426" t="b">
        <v>0</v>
      </c>
      <c r="H426" s="3">
        <v>19379</v>
      </c>
      <c r="I426" s="3">
        <v>232548</v>
      </c>
      <c r="J426">
        <v>4</v>
      </c>
      <c r="K426">
        <v>3</v>
      </c>
      <c r="L426">
        <v>30</v>
      </c>
      <c r="M426" t="s">
        <v>11</v>
      </c>
      <c r="N426" t="str">
        <f>IF(tblCustomer[[#This Row],[Monthly Revenue]]&gt;=30000, "Tier 1 ", IF(tblCustomer[[#This Row],[Monthly Revenue]]&gt;= 15000,"Tier 2 ","Tier 3 "))</f>
        <v xml:space="preserve">Tier 2 </v>
      </c>
      <c r="O426" t="s">
        <v>1028</v>
      </c>
    </row>
    <row r="427" spans="1:15" x14ac:dyDescent="0.25">
      <c r="A427" t="s">
        <v>869</v>
      </c>
      <c r="B427" t="s">
        <v>870</v>
      </c>
      <c r="C427" t="s">
        <v>14</v>
      </c>
      <c r="D427" t="s">
        <v>10</v>
      </c>
      <c r="E427" t="s">
        <v>22</v>
      </c>
      <c r="F427">
        <v>2</v>
      </c>
      <c r="G427" t="b">
        <v>0</v>
      </c>
      <c r="H427" s="3">
        <v>22642</v>
      </c>
      <c r="I427" s="3">
        <v>271704</v>
      </c>
      <c r="J427">
        <v>2</v>
      </c>
      <c r="K427">
        <v>2</v>
      </c>
      <c r="L427">
        <v>45</v>
      </c>
      <c r="M427" t="s">
        <v>6</v>
      </c>
      <c r="N427" t="str">
        <f>IF(tblCustomer[[#This Row],[Monthly Revenue]]&gt;=30000, "Tier 1 ", IF(tblCustomer[[#This Row],[Monthly Revenue]]&gt;= 15000,"Tier 2 ","Tier 3 "))</f>
        <v xml:space="preserve">Tier 2 </v>
      </c>
      <c r="O427" t="s">
        <v>1032</v>
      </c>
    </row>
    <row r="428" spans="1:15" x14ac:dyDescent="0.25">
      <c r="A428" t="s">
        <v>871</v>
      </c>
      <c r="B428" t="s">
        <v>872</v>
      </c>
      <c r="C428" t="s">
        <v>17</v>
      </c>
      <c r="D428" t="s">
        <v>4</v>
      </c>
      <c r="E428" t="s">
        <v>28</v>
      </c>
      <c r="F428">
        <v>3</v>
      </c>
      <c r="G428" t="b">
        <v>0</v>
      </c>
      <c r="H428" s="3">
        <v>1560</v>
      </c>
      <c r="I428" s="3">
        <v>18720</v>
      </c>
      <c r="J428">
        <v>2</v>
      </c>
      <c r="K428">
        <v>2.5</v>
      </c>
      <c r="L428">
        <v>30</v>
      </c>
      <c r="M428" t="s">
        <v>11</v>
      </c>
      <c r="N428" t="str">
        <f>IF(tblCustomer[[#This Row],[Monthly Revenue]]&gt;=30000, "Tier 1 ", IF(tblCustomer[[#This Row],[Monthly Revenue]]&gt;= 15000,"Tier 2 ","Tier 3 "))</f>
        <v xml:space="preserve">Tier 3 </v>
      </c>
      <c r="O428" t="s">
        <v>1031</v>
      </c>
    </row>
    <row r="429" spans="1:15" x14ac:dyDescent="0.25">
      <c r="A429" t="s">
        <v>873</v>
      </c>
      <c r="B429" t="s">
        <v>874</v>
      </c>
      <c r="C429" t="s">
        <v>27</v>
      </c>
      <c r="D429" t="s">
        <v>4</v>
      </c>
      <c r="E429" t="s">
        <v>5</v>
      </c>
      <c r="F429">
        <v>24</v>
      </c>
      <c r="G429" t="b">
        <v>1</v>
      </c>
      <c r="H429" s="3">
        <v>30958</v>
      </c>
      <c r="I429" s="3">
        <v>371496</v>
      </c>
      <c r="J429">
        <v>2</v>
      </c>
      <c r="K429">
        <v>2</v>
      </c>
      <c r="L429">
        <v>45</v>
      </c>
      <c r="M429" t="s">
        <v>6</v>
      </c>
      <c r="N429" t="str">
        <f>IF(tblCustomer[[#This Row],[Monthly Revenue]]&gt;=30000, "Tier 1 ", IF(tblCustomer[[#This Row],[Monthly Revenue]]&gt;= 15000,"Tier 2 ","Tier 3 "))</f>
        <v xml:space="preserve">Tier 1 </v>
      </c>
      <c r="O429" t="s">
        <v>1027</v>
      </c>
    </row>
    <row r="430" spans="1:15" x14ac:dyDescent="0.25">
      <c r="A430" t="s">
        <v>875</v>
      </c>
      <c r="B430" t="s">
        <v>876</v>
      </c>
      <c r="C430" t="s">
        <v>17</v>
      </c>
      <c r="D430" t="s">
        <v>4</v>
      </c>
      <c r="E430" t="s">
        <v>5</v>
      </c>
      <c r="F430">
        <v>7</v>
      </c>
      <c r="G430" t="b">
        <v>1</v>
      </c>
      <c r="H430" s="3">
        <v>5624</v>
      </c>
      <c r="I430" s="3">
        <v>67488</v>
      </c>
      <c r="J430">
        <v>3</v>
      </c>
      <c r="K430">
        <v>3</v>
      </c>
      <c r="L430">
        <v>30</v>
      </c>
      <c r="M430" t="s">
        <v>11</v>
      </c>
      <c r="N430" t="str">
        <f>IF(tblCustomer[[#This Row],[Monthly Revenue]]&gt;=30000, "Tier 1 ", IF(tblCustomer[[#This Row],[Monthly Revenue]]&gt;= 15000,"Tier 2 ","Tier 3 "))</f>
        <v xml:space="preserve">Tier 3 </v>
      </c>
      <c r="O430" t="s">
        <v>1029</v>
      </c>
    </row>
    <row r="431" spans="1:15" x14ac:dyDescent="0.25">
      <c r="A431" t="s">
        <v>877</v>
      </c>
      <c r="B431" t="s">
        <v>878</v>
      </c>
      <c r="C431" t="s">
        <v>3</v>
      </c>
      <c r="D431" t="s">
        <v>4</v>
      </c>
      <c r="E431" t="s">
        <v>28</v>
      </c>
      <c r="F431">
        <v>8</v>
      </c>
      <c r="G431" t="b">
        <v>1</v>
      </c>
      <c r="H431" s="3">
        <v>12060</v>
      </c>
      <c r="I431" s="3">
        <v>144720</v>
      </c>
      <c r="J431">
        <v>5</v>
      </c>
      <c r="K431">
        <v>2.6</v>
      </c>
      <c r="L431">
        <v>40</v>
      </c>
      <c r="M431" t="s">
        <v>6</v>
      </c>
      <c r="N431" t="str">
        <f>IF(tblCustomer[[#This Row],[Monthly Revenue]]&gt;=30000, "Tier 1 ", IF(tblCustomer[[#This Row],[Monthly Revenue]]&gt;= 15000,"Tier 2 ","Tier 3 "))</f>
        <v xml:space="preserve">Tier 3 </v>
      </c>
      <c r="O431" t="s">
        <v>1028</v>
      </c>
    </row>
    <row r="432" spans="1:15" x14ac:dyDescent="0.25">
      <c r="A432" t="s">
        <v>879</v>
      </c>
      <c r="B432" t="s">
        <v>880</v>
      </c>
      <c r="C432" t="s">
        <v>14</v>
      </c>
      <c r="D432" t="s">
        <v>4</v>
      </c>
      <c r="E432" t="s">
        <v>5</v>
      </c>
      <c r="F432">
        <v>10</v>
      </c>
      <c r="G432" t="b">
        <v>0</v>
      </c>
      <c r="H432" s="3">
        <v>43291</v>
      </c>
      <c r="I432" s="3">
        <v>519492</v>
      </c>
      <c r="J432">
        <v>5</v>
      </c>
      <c r="K432">
        <v>4.5999999999999996</v>
      </c>
      <c r="L432">
        <v>40</v>
      </c>
      <c r="M432" t="s">
        <v>6</v>
      </c>
      <c r="N432" t="str">
        <f>IF(tblCustomer[[#This Row],[Monthly Revenue]]&gt;=30000, "Tier 1 ", IF(tblCustomer[[#This Row],[Monthly Revenue]]&gt;= 15000,"Tier 2 ","Tier 3 "))</f>
        <v xml:space="preserve">Tier 1 </v>
      </c>
      <c r="O432" t="s">
        <v>1032</v>
      </c>
    </row>
    <row r="433" spans="1:15" x14ac:dyDescent="0.25">
      <c r="A433" t="s">
        <v>881</v>
      </c>
      <c r="B433" t="s">
        <v>882</v>
      </c>
      <c r="C433" t="s">
        <v>17</v>
      </c>
      <c r="D433" t="s">
        <v>4</v>
      </c>
      <c r="E433" t="s">
        <v>22</v>
      </c>
      <c r="F433">
        <v>23</v>
      </c>
      <c r="G433" t="b">
        <v>0</v>
      </c>
      <c r="H433" s="3">
        <v>20338</v>
      </c>
      <c r="I433" s="3">
        <v>244056</v>
      </c>
      <c r="J433">
        <v>3</v>
      </c>
      <c r="K433">
        <v>1</v>
      </c>
      <c r="L433">
        <v>60</v>
      </c>
      <c r="M433" t="s">
        <v>19</v>
      </c>
      <c r="N433" t="str">
        <f>IF(tblCustomer[[#This Row],[Monthly Revenue]]&gt;=30000, "Tier 1 ", IF(tblCustomer[[#This Row],[Monthly Revenue]]&gt;= 15000,"Tier 2 ","Tier 3 "))</f>
        <v xml:space="preserve">Tier 2 </v>
      </c>
      <c r="O433" t="s">
        <v>1032</v>
      </c>
    </row>
    <row r="434" spans="1:15" x14ac:dyDescent="0.25">
      <c r="A434" t="s">
        <v>883</v>
      </c>
      <c r="B434" t="s">
        <v>884</v>
      </c>
      <c r="C434" t="s">
        <v>17</v>
      </c>
      <c r="D434" t="s">
        <v>4</v>
      </c>
      <c r="E434" t="s">
        <v>22</v>
      </c>
      <c r="F434">
        <v>3</v>
      </c>
      <c r="G434" t="b">
        <v>0</v>
      </c>
      <c r="H434" s="3">
        <v>9773</v>
      </c>
      <c r="I434" s="3">
        <v>117276</v>
      </c>
      <c r="J434">
        <v>4</v>
      </c>
      <c r="K434">
        <v>4.25</v>
      </c>
      <c r="L434">
        <v>0</v>
      </c>
      <c r="M434" t="s">
        <v>11</v>
      </c>
      <c r="N434" t="str">
        <f>IF(tblCustomer[[#This Row],[Monthly Revenue]]&gt;=30000, "Tier 1 ", IF(tblCustomer[[#This Row],[Monthly Revenue]]&gt;= 15000,"Tier 2 ","Tier 3 "))</f>
        <v xml:space="preserve">Tier 3 </v>
      </c>
      <c r="O434" t="s">
        <v>1029</v>
      </c>
    </row>
    <row r="435" spans="1:15" x14ac:dyDescent="0.25">
      <c r="A435" t="s">
        <v>885</v>
      </c>
      <c r="B435" t="s">
        <v>886</v>
      </c>
      <c r="C435" t="s">
        <v>17</v>
      </c>
      <c r="D435" t="s">
        <v>4</v>
      </c>
      <c r="E435" t="s">
        <v>28</v>
      </c>
      <c r="F435">
        <v>24</v>
      </c>
      <c r="G435" t="b">
        <v>0</v>
      </c>
      <c r="H435" s="3">
        <v>22881</v>
      </c>
      <c r="I435" s="3">
        <v>274572</v>
      </c>
      <c r="J435">
        <v>3</v>
      </c>
      <c r="K435">
        <v>0</v>
      </c>
      <c r="L435">
        <v>60</v>
      </c>
      <c r="M435" t="s">
        <v>19</v>
      </c>
      <c r="N435" t="str">
        <f>IF(tblCustomer[[#This Row],[Monthly Revenue]]&gt;=30000, "Tier 1 ", IF(tblCustomer[[#This Row],[Monthly Revenue]]&gt;= 15000,"Tier 2 ","Tier 3 "))</f>
        <v xml:space="preserve">Tier 2 </v>
      </c>
      <c r="O435" t="s">
        <v>1029</v>
      </c>
    </row>
    <row r="436" spans="1:15" x14ac:dyDescent="0.25">
      <c r="A436" t="s">
        <v>887</v>
      </c>
      <c r="B436" t="s">
        <v>888</v>
      </c>
      <c r="C436" t="s">
        <v>3</v>
      </c>
      <c r="D436" t="s">
        <v>90</v>
      </c>
      <c r="E436" t="s">
        <v>28</v>
      </c>
      <c r="F436">
        <v>1</v>
      </c>
      <c r="G436" t="b">
        <v>0</v>
      </c>
      <c r="H436" s="3">
        <v>444</v>
      </c>
      <c r="I436" s="3">
        <v>5328</v>
      </c>
      <c r="J436">
        <v>5</v>
      </c>
      <c r="K436">
        <v>2.2000000000000002</v>
      </c>
      <c r="L436">
        <v>55</v>
      </c>
      <c r="M436" t="s">
        <v>6</v>
      </c>
      <c r="N436" t="str">
        <f>IF(tblCustomer[[#This Row],[Monthly Revenue]]&gt;=30000, "Tier 1 ", IF(tblCustomer[[#This Row],[Monthly Revenue]]&gt;= 15000,"Tier 2 ","Tier 3 "))</f>
        <v xml:space="preserve">Tier 3 </v>
      </c>
      <c r="O436" t="s">
        <v>1031</v>
      </c>
    </row>
    <row r="437" spans="1:15" x14ac:dyDescent="0.25">
      <c r="A437" t="s">
        <v>889</v>
      </c>
      <c r="B437" t="s">
        <v>890</v>
      </c>
      <c r="C437" t="s">
        <v>3</v>
      </c>
      <c r="D437" t="s">
        <v>4</v>
      </c>
      <c r="E437" t="s">
        <v>22</v>
      </c>
      <c r="F437">
        <v>40</v>
      </c>
      <c r="G437" t="b">
        <v>0</v>
      </c>
      <c r="H437" s="3">
        <v>35836</v>
      </c>
      <c r="I437" s="3">
        <v>430032</v>
      </c>
      <c r="J437">
        <v>5</v>
      </c>
      <c r="K437">
        <v>3.4</v>
      </c>
      <c r="L437">
        <v>40</v>
      </c>
      <c r="M437" t="s">
        <v>6</v>
      </c>
      <c r="N437" t="str">
        <f>IF(tblCustomer[[#This Row],[Monthly Revenue]]&gt;=30000, "Tier 1 ", IF(tblCustomer[[#This Row],[Monthly Revenue]]&gt;= 15000,"Tier 2 ","Tier 3 "))</f>
        <v xml:space="preserve">Tier 1 </v>
      </c>
      <c r="O437" t="s">
        <v>1031</v>
      </c>
    </row>
    <row r="438" spans="1:15" x14ac:dyDescent="0.25">
      <c r="A438" t="s">
        <v>891</v>
      </c>
      <c r="B438" t="s">
        <v>892</v>
      </c>
      <c r="C438" t="s">
        <v>17</v>
      </c>
      <c r="D438" t="s">
        <v>4</v>
      </c>
      <c r="E438" t="s">
        <v>22</v>
      </c>
      <c r="F438">
        <v>8</v>
      </c>
      <c r="G438" t="b">
        <v>1</v>
      </c>
      <c r="H438" s="3">
        <v>14583</v>
      </c>
      <c r="I438" s="3">
        <v>174996</v>
      </c>
      <c r="J438">
        <v>8</v>
      </c>
      <c r="K438">
        <v>2.38</v>
      </c>
      <c r="L438">
        <v>65</v>
      </c>
      <c r="M438" t="s">
        <v>19</v>
      </c>
      <c r="N438" t="str">
        <f>IF(tblCustomer[[#This Row],[Monthly Revenue]]&gt;=30000, "Tier 1 ", IF(tblCustomer[[#This Row],[Monthly Revenue]]&gt;= 15000,"Tier 2 ","Tier 3 "))</f>
        <v xml:space="preserve">Tier 3 </v>
      </c>
      <c r="O438" t="s">
        <v>1032</v>
      </c>
    </row>
    <row r="439" spans="1:15" x14ac:dyDescent="0.25">
      <c r="A439" t="s">
        <v>893</v>
      </c>
      <c r="B439" t="s">
        <v>894</v>
      </c>
      <c r="C439" t="s">
        <v>9</v>
      </c>
      <c r="D439" t="s">
        <v>4</v>
      </c>
      <c r="E439" t="s">
        <v>28</v>
      </c>
      <c r="F439">
        <v>45</v>
      </c>
      <c r="G439" t="b">
        <v>0</v>
      </c>
      <c r="H439" s="3">
        <v>26234</v>
      </c>
      <c r="I439" s="3">
        <v>314808</v>
      </c>
      <c r="J439">
        <v>5</v>
      </c>
      <c r="K439">
        <v>2.4</v>
      </c>
      <c r="L439">
        <v>55</v>
      </c>
      <c r="M439" t="s">
        <v>6</v>
      </c>
      <c r="N439" t="str">
        <f>IF(tblCustomer[[#This Row],[Monthly Revenue]]&gt;=30000, "Tier 1 ", IF(tblCustomer[[#This Row],[Monthly Revenue]]&gt;= 15000,"Tier 2 ","Tier 3 "))</f>
        <v xml:space="preserve">Tier 2 </v>
      </c>
      <c r="O439" t="s">
        <v>1031</v>
      </c>
    </row>
    <row r="440" spans="1:15" x14ac:dyDescent="0.25">
      <c r="A440" t="s">
        <v>895</v>
      </c>
      <c r="B440" t="s">
        <v>896</v>
      </c>
      <c r="C440" t="s">
        <v>9</v>
      </c>
      <c r="D440" t="s">
        <v>4</v>
      </c>
      <c r="E440" t="s">
        <v>5</v>
      </c>
      <c r="F440">
        <v>12</v>
      </c>
      <c r="G440" t="b">
        <v>0</v>
      </c>
      <c r="H440" s="3">
        <v>9171</v>
      </c>
      <c r="I440" s="3">
        <v>110052</v>
      </c>
      <c r="J440">
        <v>4</v>
      </c>
      <c r="K440">
        <v>2.25</v>
      </c>
      <c r="L440">
        <v>45</v>
      </c>
      <c r="M440" t="s">
        <v>6</v>
      </c>
      <c r="N440" t="str">
        <f>IF(tblCustomer[[#This Row],[Monthly Revenue]]&gt;=30000, "Tier 1 ", IF(tblCustomer[[#This Row],[Monthly Revenue]]&gt;= 15000,"Tier 2 ","Tier 3 "))</f>
        <v xml:space="preserve">Tier 3 </v>
      </c>
      <c r="O440" t="s">
        <v>1031</v>
      </c>
    </row>
    <row r="441" spans="1:15" x14ac:dyDescent="0.25">
      <c r="A441" t="s">
        <v>897</v>
      </c>
      <c r="B441" t="s">
        <v>898</v>
      </c>
      <c r="C441" t="s">
        <v>14</v>
      </c>
      <c r="D441" t="s">
        <v>4</v>
      </c>
      <c r="E441" t="s">
        <v>28</v>
      </c>
      <c r="F441">
        <v>26</v>
      </c>
      <c r="G441" t="b">
        <v>1</v>
      </c>
      <c r="H441" s="3">
        <v>4806</v>
      </c>
      <c r="I441" s="3">
        <v>57672</v>
      </c>
      <c r="J441">
        <v>4</v>
      </c>
      <c r="K441">
        <v>2</v>
      </c>
      <c r="L441">
        <v>15</v>
      </c>
      <c r="M441" t="s">
        <v>11</v>
      </c>
      <c r="N441" t="str">
        <f>IF(tblCustomer[[#This Row],[Monthly Revenue]]&gt;=30000, "Tier 1 ", IF(tblCustomer[[#This Row],[Monthly Revenue]]&gt;= 15000,"Tier 2 ","Tier 3 "))</f>
        <v xml:space="preserve">Tier 3 </v>
      </c>
      <c r="O441" t="s">
        <v>1031</v>
      </c>
    </row>
    <row r="442" spans="1:15" x14ac:dyDescent="0.25">
      <c r="A442" t="s">
        <v>899</v>
      </c>
      <c r="B442" t="s">
        <v>900</v>
      </c>
      <c r="C442" t="s">
        <v>9</v>
      </c>
      <c r="D442" t="s">
        <v>4</v>
      </c>
      <c r="E442" t="s">
        <v>28</v>
      </c>
      <c r="F442">
        <v>5</v>
      </c>
      <c r="G442" t="b">
        <v>0</v>
      </c>
      <c r="H442" s="3">
        <v>8947</v>
      </c>
      <c r="I442" s="3">
        <v>107364</v>
      </c>
      <c r="J442">
        <v>5</v>
      </c>
      <c r="K442">
        <v>1.8</v>
      </c>
      <c r="L442">
        <v>55</v>
      </c>
      <c r="M442" t="s">
        <v>6</v>
      </c>
      <c r="N442" t="str">
        <f>IF(tblCustomer[[#This Row],[Monthly Revenue]]&gt;=30000, "Tier 1 ", IF(tblCustomer[[#This Row],[Monthly Revenue]]&gt;= 15000,"Tier 2 ","Tier 3 "))</f>
        <v xml:space="preserve">Tier 3 </v>
      </c>
      <c r="O442" t="s">
        <v>1032</v>
      </c>
    </row>
    <row r="443" spans="1:15" x14ac:dyDescent="0.25">
      <c r="A443" t="s">
        <v>901</v>
      </c>
      <c r="B443" t="s">
        <v>902</v>
      </c>
      <c r="C443" t="s">
        <v>9</v>
      </c>
      <c r="D443" t="s">
        <v>4</v>
      </c>
      <c r="E443" t="s">
        <v>28</v>
      </c>
      <c r="F443">
        <v>4</v>
      </c>
      <c r="G443" t="b">
        <v>0</v>
      </c>
      <c r="H443" s="3">
        <v>26276</v>
      </c>
      <c r="I443" s="3">
        <v>315312</v>
      </c>
      <c r="J443">
        <v>5</v>
      </c>
      <c r="K443">
        <v>2.6</v>
      </c>
      <c r="L443">
        <v>40</v>
      </c>
      <c r="M443" t="s">
        <v>6</v>
      </c>
      <c r="N443" t="str">
        <f>IF(tblCustomer[[#This Row],[Monthly Revenue]]&gt;=30000, "Tier 1 ", IF(tblCustomer[[#This Row],[Monthly Revenue]]&gt;= 15000,"Tier 2 ","Tier 3 "))</f>
        <v xml:space="preserve">Tier 2 </v>
      </c>
      <c r="O443" t="s">
        <v>1030</v>
      </c>
    </row>
    <row r="444" spans="1:15" x14ac:dyDescent="0.25">
      <c r="A444" t="s">
        <v>903</v>
      </c>
      <c r="B444" t="s">
        <v>904</v>
      </c>
      <c r="C444" t="s">
        <v>14</v>
      </c>
      <c r="D444" t="s">
        <v>4</v>
      </c>
      <c r="E444" t="s">
        <v>5</v>
      </c>
      <c r="F444">
        <v>4</v>
      </c>
      <c r="G444" t="b">
        <v>0</v>
      </c>
      <c r="H444" s="3">
        <v>9251</v>
      </c>
      <c r="I444" s="3">
        <v>111012</v>
      </c>
      <c r="J444">
        <v>2</v>
      </c>
      <c r="K444">
        <v>5</v>
      </c>
      <c r="L444">
        <v>30</v>
      </c>
      <c r="M444" t="s">
        <v>11</v>
      </c>
      <c r="N444" t="str">
        <f>IF(tblCustomer[[#This Row],[Monthly Revenue]]&gt;=30000, "Tier 1 ", IF(tblCustomer[[#This Row],[Monthly Revenue]]&gt;= 15000,"Tier 2 ","Tier 3 "))</f>
        <v xml:space="preserve">Tier 3 </v>
      </c>
      <c r="O444" t="s">
        <v>1032</v>
      </c>
    </row>
    <row r="445" spans="1:15" x14ac:dyDescent="0.25">
      <c r="A445" t="s">
        <v>905</v>
      </c>
      <c r="B445" t="s">
        <v>906</v>
      </c>
      <c r="C445" t="s">
        <v>17</v>
      </c>
      <c r="D445" t="s">
        <v>4</v>
      </c>
      <c r="E445" t="s">
        <v>22</v>
      </c>
      <c r="F445">
        <v>13</v>
      </c>
      <c r="G445" t="b">
        <v>0</v>
      </c>
      <c r="H445" s="3">
        <v>10063</v>
      </c>
      <c r="I445" s="3">
        <v>120756</v>
      </c>
      <c r="J445">
        <v>4</v>
      </c>
      <c r="K445">
        <v>3.25</v>
      </c>
      <c r="L445">
        <v>30</v>
      </c>
      <c r="M445" t="s">
        <v>11</v>
      </c>
      <c r="N445" t="str">
        <f>IF(tblCustomer[[#This Row],[Monthly Revenue]]&gt;=30000, "Tier 1 ", IF(tblCustomer[[#This Row],[Monthly Revenue]]&gt;= 15000,"Tier 2 ","Tier 3 "))</f>
        <v xml:space="preserve">Tier 3 </v>
      </c>
      <c r="O445" t="s">
        <v>1028</v>
      </c>
    </row>
    <row r="446" spans="1:15" x14ac:dyDescent="0.25">
      <c r="A446" t="s">
        <v>907</v>
      </c>
      <c r="B446" t="s">
        <v>908</v>
      </c>
      <c r="C446" t="s">
        <v>27</v>
      </c>
      <c r="D446" t="s">
        <v>18</v>
      </c>
      <c r="E446" t="s">
        <v>5</v>
      </c>
      <c r="F446">
        <v>5</v>
      </c>
      <c r="G446" t="b">
        <v>0</v>
      </c>
      <c r="H446" s="3">
        <v>27966</v>
      </c>
      <c r="I446" s="3">
        <v>335592</v>
      </c>
      <c r="J446">
        <v>5</v>
      </c>
      <c r="K446">
        <v>1.4</v>
      </c>
      <c r="L446">
        <v>70</v>
      </c>
      <c r="M446" t="s">
        <v>19</v>
      </c>
      <c r="N446" t="str">
        <f>IF(tblCustomer[[#This Row],[Monthly Revenue]]&gt;=30000, "Tier 1 ", IF(tblCustomer[[#This Row],[Monthly Revenue]]&gt;= 15000,"Tier 2 ","Tier 3 "))</f>
        <v xml:space="preserve">Tier 2 </v>
      </c>
      <c r="O446" t="s">
        <v>1029</v>
      </c>
    </row>
    <row r="447" spans="1:15" x14ac:dyDescent="0.25">
      <c r="A447" t="s">
        <v>909</v>
      </c>
      <c r="B447" t="s">
        <v>910</v>
      </c>
      <c r="C447" t="s">
        <v>17</v>
      </c>
      <c r="D447" t="s">
        <v>4</v>
      </c>
      <c r="E447" t="s">
        <v>28</v>
      </c>
      <c r="F447">
        <v>21</v>
      </c>
      <c r="G447" t="b">
        <v>0</v>
      </c>
      <c r="H447" s="3">
        <v>30744</v>
      </c>
      <c r="I447" s="3">
        <v>368928</v>
      </c>
      <c r="J447">
        <v>2</v>
      </c>
      <c r="K447">
        <v>1.5</v>
      </c>
      <c r="L447">
        <v>45</v>
      </c>
      <c r="M447" t="s">
        <v>6</v>
      </c>
      <c r="N447" t="str">
        <f>IF(tblCustomer[[#This Row],[Monthly Revenue]]&gt;=30000, "Tier 1 ", IF(tblCustomer[[#This Row],[Monthly Revenue]]&gt;= 15000,"Tier 2 ","Tier 3 "))</f>
        <v xml:space="preserve">Tier 1 </v>
      </c>
      <c r="O447" t="s">
        <v>1027</v>
      </c>
    </row>
    <row r="448" spans="1:15" x14ac:dyDescent="0.25">
      <c r="A448" t="s">
        <v>911</v>
      </c>
      <c r="B448" t="s">
        <v>912</v>
      </c>
      <c r="C448" t="s">
        <v>9</v>
      </c>
      <c r="D448" t="s">
        <v>18</v>
      </c>
      <c r="E448" t="s">
        <v>28</v>
      </c>
      <c r="F448">
        <v>1</v>
      </c>
      <c r="G448" t="b">
        <v>0</v>
      </c>
      <c r="H448" s="3">
        <v>18926</v>
      </c>
      <c r="I448" s="3">
        <v>227112</v>
      </c>
      <c r="J448">
        <v>4</v>
      </c>
      <c r="K448">
        <v>1</v>
      </c>
      <c r="L448">
        <v>60</v>
      </c>
      <c r="M448" t="s">
        <v>19</v>
      </c>
      <c r="N448" t="str">
        <f>IF(tblCustomer[[#This Row],[Monthly Revenue]]&gt;=30000, "Tier 1 ", IF(tblCustomer[[#This Row],[Monthly Revenue]]&gt;= 15000,"Tier 2 ","Tier 3 "))</f>
        <v xml:space="preserve">Tier 2 </v>
      </c>
      <c r="O448" t="s">
        <v>1030</v>
      </c>
    </row>
    <row r="449" spans="1:15" x14ac:dyDescent="0.25">
      <c r="A449" t="s">
        <v>913</v>
      </c>
      <c r="B449" t="s">
        <v>914</v>
      </c>
      <c r="C449" t="s">
        <v>27</v>
      </c>
      <c r="D449" t="s">
        <v>4</v>
      </c>
      <c r="E449" t="s">
        <v>28</v>
      </c>
      <c r="F449">
        <v>12</v>
      </c>
      <c r="G449" t="b">
        <v>0</v>
      </c>
      <c r="H449" s="3">
        <v>16731</v>
      </c>
      <c r="I449" s="3">
        <v>200772</v>
      </c>
      <c r="J449">
        <v>4</v>
      </c>
      <c r="K449">
        <v>4</v>
      </c>
      <c r="L449">
        <v>30</v>
      </c>
      <c r="M449" t="s">
        <v>11</v>
      </c>
      <c r="N449" t="str">
        <f>IF(tblCustomer[[#This Row],[Monthly Revenue]]&gt;=30000, "Tier 1 ", IF(tblCustomer[[#This Row],[Monthly Revenue]]&gt;= 15000,"Tier 2 ","Tier 3 "))</f>
        <v xml:space="preserve">Tier 2 </v>
      </c>
      <c r="O449" t="s">
        <v>1029</v>
      </c>
    </row>
    <row r="450" spans="1:15" x14ac:dyDescent="0.25">
      <c r="A450" t="s">
        <v>915</v>
      </c>
      <c r="B450" t="s">
        <v>916</v>
      </c>
      <c r="C450" t="s">
        <v>17</v>
      </c>
      <c r="D450" t="s">
        <v>18</v>
      </c>
      <c r="E450" t="s">
        <v>28</v>
      </c>
      <c r="F450">
        <v>27</v>
      </c>
      <c r="G450" t="b">
        <v>0</v>
      </c>
      <c r="H450" s="3">
        <v>14373</v>
      </c>
      <c r="I450" s="3">
        <v>172476</v>
      </c>
      <c r="J450">
        <v>2</v>
      </c>
      <c r="K450">
        <v>1.5</v>
      </c>
      <c r="L450">
        <v>15</v>
      </c>
      <c r="M450" t="s">
        <v>11</v>
      </c>
      <c r="N450" t="str">
        <f>IF(tblCustomer[[#This Row],[Monthly Revenue]]&gt;=30000, "Tier 1 ", IF(tblCustomer[[#This Row],[Monthly Revenue]]&gt;= 15000,"Tier 2 ","Tier 3 "))</f>
        <v xml:space="preserve">Tier 3 </v>
      </c>
      <c r="O450" t="s">
        <v>1031</v>
      </c>
    </row>
    <row r="451" spans="1:15" x14ac:dyDescent="0.25">
      <c r="A451" t="s">
        <v>917</v>
      </c>
      <c r="B451" t="s">
        <v>918</v>
      </c>
      <c r="C451" t="s">
        <v>9</v>
      </c>
      <c r="D451" t="s">
        <v>4</v>
      </c>
      <c r="E451" t="s">
        <v>22</v>
      </c>
      <c r="F451">
        <v>9</v>
      </c>
      <c r="G451" t="b">
        <v>1</v>
      </c>
      <c r="H451" s="3">
        <v>30471</v>
      </c>
      <c r="I451" s="3">
        <v>365652</v>
      </c>
      <c r="J451">
        <v>5</v>
      </c>
      <c r="K451">
        <v>3</v>
      </c>
      <c r="L451">
        <v>40</v>
      </c>
      <c r="M451" t="s">
        <v>6</v>
      </c>
      <c r="N451" t="str">
        <f>IF(tblCustomer[[#This Row],[Monthly Revenue]]&gt;=30000, "Tier 1 ", IF(tblCustomer[[#This Row],[Monthly Revenue]]&gt;= 15000,"Tier 2 ","Tier 3 "))</f>
        <v xml:space="preserve">Tier 1 </v>
      </c>
      <c r="O451" t="s">
        <v>1029</v>
      </c>
    </row>
    <row r="452" spans="1:15" x14ac:dyDescent="0.25">
      <c r="A452" t="s">
        <v>919</v>
      </c>
      <c r="B452" t="s">
        <v>920</v>
      </c>
      <c r="C452" t="s">
        <v>27</v>
      </c>
      <c r="D452" t="s">
        <v>54</v>
      </c>
      <c r="E452" t="s">
        <v>22</v>
      </c>
      <c r="F452">
        <v>40</v>
      </c>
      <c r="G452" t="b">
        <v>0</v>
      </c>
      <c r="H452" s="3">
        <v>13081</v>
      </c>
      <c r="I452" s="3">
        <v>156972</v>
      </c>
      <c r="J452">
        <v>6</v>
      </c>
      <c r="K452">
        <v>2.83</v>
      </c>
      <c r="L452">
        <v>10</v>
      </c>
      <c r="M452" t="s">
        <v>11</v>
      </c>
      <c r="N452" t="str">
        <f>IF(tblCustomer[[#This Row],[Monthly Revenue]]&gt;=30000, "Tier 1 ", IF(tblCustomer[[#This Row],[Monthly Revenue]]&gt;= 15000,"Tier 2 ","Tier 3 "))</f>
        <v xml:space="preserve">Tier 3 </v>
      </c>
      <c r="O452" t="s">
        <v>1030</v>
      </c>
    </row>
    <row r="453" spans="1:15" x14ac:dyDescent="0.25">
      <c r="A453" t="s">
        <v>921</v>
      </c>
      <c r="B453" t="s">
        <v>922</v>
      </c>
      <c r="C453" t="s">
        <v>9</v>
      </c>
      <c r="D453" t="s">
        <v>4</v>
      </c>
      <c r="E453" t="s">
        <v>28</v>
      </c>
      <c r="F453">
        <v>25</v>
      </c>
      <c r="G453" t="b">
        <v>0</v>
      </c>
      <c r="H453" s="3">
        <v>29687</v>
      </c>
      <c r="I453" s="3">
        <v>356244</v>
      </c>
      <c r="J453">
        <v>4</v>
      </c>
      <c r="K453">
        <v>3.25</v>
      </c>
      <c r="L453">
        <v>30</v>
      </c>
      <c r="M453" t="s">
        <v>11</v>
      </c>
      <c r="N453" t="str">
        <f>IF(tblCustomer[[#This Row],[Monthly Revenue]]&gt;=30000, "Tier 1 ", IF(tblCustomer[[#This Row],[Monthly Revenue]]&gt;= 15000,"Tier 2 ","Tier 3 "))</f>
        <v xml:space="preserve">Tier 2 </v>
      </c>
      <c r="O453" t="s">
        <v>1030</v>
      </c>
    </row>
    <row r="454" spans="1:15" x14ac:dyDescent="0.25">
      <c r="A454" t="s">
        <v>923</v>
      </c>
      <c r="B454" t="s">
        <v>924</v>
      </c>
      <c r="C454" t="s">
        <v>27</v>
      </c>
      <c r="D454" t="s">
        <v>4</v>
      </c>
      <c r="E454" t="s">
        <v>22</v>
      </c>
      <c r="F454">
        <v>46</v>
      </c>
      <c r="G454" t="b">
        <v>0</v>
      </c>
      <c r="H454" s="3">
        <v>21666</v>
      </c>
      <c r="I454" s="3">
        <v>259992</v>
      </c>
      <c r="J454">
        <v>7</v>
      </c>
      <c r="K454">
        <v>1.71</v>
      </c>
      <c r="L454">
        <v>55</v>
      </c>
      <c r="M454" t="s">
        <v>6</v>
      </c>
      <c r="N454" t="str">
        <f>IF(tblCustomer[[#This Row],[Monthly Revenue]]&gt;=30000, "Tier 1 ", IF(tblCustomer[[#This Row],[Monthly Revenue]]&gt;= 15000,"Tier 2 ","Tier 3 "))</f>
        <v xml:space="preserve">Tier 2 </v>
      </c>
      <c r="O454" t="s">
        <v>1028</v>
      </c>
    </row>
    <row r="455" spans="1:15" x14ac:dyDescent="0.25">
      <c r="A455" t="s">
        <v>925</v>
      </c>
      <c r="B455" t="s">
        <v>926</v>
      </c>
      <c r="C455" t="s">
        <v>9</v>
      </c>
      <c r="D455" t="s">
        <v>4</v>
      </c>
      <c r="E455" t="s">
        <v>5</v>
      </c>
      <c r="F455">
        <v>17</v>
      </c>
      <c r="G455" t="b">
        <v>0</v>
      </c>
      <c r="H455" s="3">
        <v>19958</v>
      </c>
      <c r="I455" s="3">
        <v>239496</v>
      </c>
      <c r="J455">
        <v>2</v>
      </c>
      <c r="K455">
        <v>1.5</v>
      </c>
      <c r="L455">
        <v>15</v>
      </c>
      <c r="M455" t="s">
        <v>11</v>
      </c>
      <c r="N455" t="str">
        <f>IF(tblCustomer[[#This Row],[Monthly Revenue]]&gt;=30000, "Tier 1 ", IF(tblCustomer[[#This Row],[Monthly Revenue]]&gt;= 15000,"Tier 2 ","Tier 3 "))</f>
        <v xml:space="preserve">Tier 2 </v>
      </c>
      <c r="O455" t="s">
        <v>1027</v>
      </c>
    </row>
    <row r="456" spans="1:15" x14ac:dyDescent="0.25">
      <c r="A456" t="s">
        <v>927</v>
      </c>
      <c r="B456" t="s">
        <v>928</v>
      </c>
      <c r="C456" t="s">
        <v>9</v>
      </c>
      <c r="D456" t="s">
        <v>4</v>
      </c>
      <c r="E456" t="s">
        <v>28</v>
      </c>
      <c r="F456">
        <v>19</v>
      </c>
      <c r="G456" t="b">
        <v>0</v>
      </c>
      <c r="H456" s="3">
        <v>1178</v>
      </c>
      <c r="I456" s="3">
        <v>14136</v>
      </c>
      <c r="J456">
        <v>7</v>
      </c>
      <c r="K456">
        <v>3</v>
      </c>
      <c r="L456">
        <v>40</v>
      </c>
      <c r="M456" t="s">
        <v>6</v>
      </c>
      <c r="N456" t="str">
        <f>IF(tblCustomer[[#This Row],[Monthly Revenue]]&gt;=30000, "Tier 1 ", IF(tblCustomer[[#This Row],[Monthly Revenue]]&gt;= 15000,"Tier 2 ","Tier 3 "))</f>
        <v xml:space="preserve">Tier 3 </v>
      </c>
      <c r="O456" t="s">
        <v>1027</v>
      </c>
    </row>
    <row r="457" spans="1:15" x14ac:dyDescent="0.25">
      <c r="A457" t="s">
        <v>929</v>
      </c>
      <c r="B457" t="s">
        <v>930</v>
      </c>
      <c r="C457" t="s">
        <v>3</v>
      </c>
      <c r="D457" t="s">
        <v>18</v>
      </c>
      <c r="E457" t="s">
        <v>5</v>
      </c>
      <c r="F457">
        <v>2</v>
      </c>
      <c r="G457" t="b">
        <v>0</v>
      </c>
      <c r="H457" s="3">
        <v>44601</v>
      </c>
      <c r="I457" s="3">
        <v>535212</v>
      </c>
      <c r="J457">
        <v>1</v>
      </c>
      <c r="K457">
        <v>4</v>
      </c>
      <c r="L457">
        <v>0</v>
      </c>
      <c r="M457" t="s">
        <v>11</v>
      </c>
      <c r="N457" t="str">
        <f>IF(tblCustomer[[#This Row],[Monthly Revenue]]&gt;=30000, "Tier 1 ", IF(tblCustomer[[#This Row],[Monthly Revenue]]&gt;= 15000,"Tier 2 ","Tier 3 "))</f>
        <v xml:space="preserve">Tier 1 </v>
      </c>
      <c r="O457" t="s">
        <v>1031</v>
      </c>
    </row>
    <row r="458" spans="1:15" x14ac:dyDescent="0.25">
      <c r="A458" t="s">
        <v>931</v>
      </c>
      <c r="B458" t="s">
        <v>932</v>
      </c>
      <c r="C458" t="s">
        <v>9</v>
      </c>
      <c r="D458" t="s">
        <v>4</v>
      </c>
      <c r="E458" t="s">
        <v>28</v>
      </c>
      <c r="F458">
        <v>3</v>
      </c>
      <c r="G458" t="b">
        <v>0</v>
      </c>
      <c r="H458" s="3">
        <v>12032</v>
      </c>
      <c r="I458" s="3">
        <v>144384</v>
      </c>
      <c r="J458">
        <v>7</v>
      </c>
      <c r="K458">
        <v>2.14</v>
      </c>
      <c r="L458">
        <v>25</v>
      </c>
      <c r="M458" t="s">
        <v>11</v>
      </c>
      <c r="N458" t="str">
        <f>IF(tblCustomer[[#This Row],[Monthly Revenue]]&gt;=30000, "Tier 1 ", IF(tblCustomer[[#This Row],[Monthly Revenue]]&gt;= 15000,"Tier 2 ","Tier 3 "))</f>
        <v xml:space="preserve">Tier 3 </v>
      </c>
      <c r="O458" t="s">
        <v>1031</v>
      </c>
    </row>
    <row r="459" spans="1:15" x14ac:dyDescent="0.25">
      <c r="A459" t="s">
        <v>933</v>
      </c>
      <c r="B459" t="s">
        <v>934</v>
      </c>
      <c r="C459" t="s">
        <v>9</v>
      </c>
      <c r="D459" t="s">
        <v>10</v>
      </c>
      <c r="E459" t="s">
        <v>28</v>
      </c>
      <c r="F459">
        <v>3</v>
      </c>
      <c r="G459" t="b">
        <v>0</v>
      </c>
      <c r="H459" s="3">
        <v>2326</v>
      </c>
      <c r="I459" s="3">
        <v>27912</v>
      </c>
      <c r="J459">
        <v>5</v>
      </c>
      <c r="K459">
        <v>2</v>
      </c>
      <c r="L459">
        <v>55</v>
      </c>
      <c r="M459" t="s">
        <v>6</v>
      </c>
      <c r="N459" t="str">
        <f>IF(tblCustomer[[#This Row],[Monthly Revenue]]&gt;=30000, "Tier 1 ", IF(tblCustomer[[#This Row],[Monthly Revenue]]&gt;= 15000,"Tier 2 ","Tier 3 "))</f>
        <v xml:space="preserve">Tier 3 </v>
      </c>
      <c r="O459" t="s">
        <v>1032</v>
      </c>
    </row>
    <row r="460" spans="1:15" x14ac:dyDescent="0.25">
      <c r="A460" t="s">
        <v>935</v>
      </c>
      <c r="B460" t="s">
        <v>936</v>
      </c>
      <c r="C460" t="s">
        <v>3</v>
      </c>
      <c r="D460" t="s">
        <v>54</v>
      </c>
      <c r="E460" t="s">
        <v>22</v>
      </c>
      <c r="F460">
        <v>5</v>
      </c>
      <c r="G460" t="b">
        <v>0</v>
      </c>
      <c r="H460" s="3">
        <v>11332</v>
      </c>
      <c r="I460" s="3">
        <v>135984</v>
      </c>
      <c r="J460">
        <v>6</v>
      </c>
      <c r="K460">
        <v>2.67</v>
      </c>
      <c r="L460">
        <v>40</v>
      </c>
      <c r="M460" t="s">
        <v>6</v>
      </c>
      <c r="N460" t="str">
        <f>IF(tblCustomer[[#This Row],[Monthly Revenue]]&gt;=30000, "Tier 1 ", IF(tblCustomer[[#This Row],[Monthly Revenue]]&gt;= 15000,"Tier 2 ","Tier 3 "))</f>
        <v xml:space="preserve">Tier 3 </v>
      </c>
      <c r="O460" t="s">
        <v>1030</v>
      </c>
    </row>
    <row r="461" spans="1:15" x14ac:dyDescent="0.25">
      <c r="A461" t="s">
        <v>937</v>
      </c>
      <c r="B461" t="s">
        <v>938</v>
      </c>
      <c r="C461" t="s">
        <v>9</v>
      </c>
      <c r="D461" t="s">
        <v>4</v>
      </c>
      <c r="E461" t="s">
        <v>5</v>
      </c>
      <c r="F461">
        <v>14</v>
      </c>
      <c r="G461" t="b">
        <v>0</v>
      </c>
      <c r="H461" s="3">
        <v>34140</v>
      </c>
      <c r="I461" s="3">
        <v>409680</v>
      </c>
      <c r="J461">
        <v>5</v>
      </c>
      <c r="K461">
        <v>2.4</v>
      </c>
      <c r="L461">
        <v>55</v>
      </c>
      <c r="M461" t="s">
        <v>6</v>
      </c>
      <c r="N461" t="str">
        <f>IF(tblCustomer[[#This Row],[Monthly Revenue]]&gt;=30000, "Tier 1 ", IF(tblCustomer[[#This Row],[Monthly Revenue]]&gt;= 15000,"Tier 2 ","Tier 3 "))</f>
        <v xml:space="preserve">Tier 1 </v>
      </c>
      <c r="O461" t="s">
        <v>1030</v>
      </c>
    </row>
    <row r="462" spans="1:15" x14ac:dyDescent="0.25">
      <c r="A462" t="s">
        <v>939</v>
      </c>
      <c r="B462" t="s">
        <v>940</v>
      </c>
      <c r="C462" t="s">
        <v>9</v>
      </c>
      <c r="D462" t="s">
        <v>54</v>
      </c>
      <c r="E462" t="s">
        <v>28</v>
      </c>
      <c r="F462">
        <v>3</v>
      </c>
      <c r="G462" t="b">
        <v>0</v>
      </c>
      <c r="H462" s="3">
        <v>15802</v>
      </c>
      <c r="I462" s="3">
        <v>189624</v>
      </c>
      <c r="J462">
        <v>7</v>
      </c>
      <c r="K462">
        <v>2</v>
      </c>
      <c r="L462">
        <v>55</v>
      </c>
      <c r="M462" t="s">
        <v>6</v>
      </c>
      <c r="N462" t="str">
        <f>IF(tblCustomer[[#This Row],[Monthly Revenue]]&gt;=30000, "Tier 1 ", IF(tblCustomer[[#This Row],[Monthly Revenue]]&gt;= 15000,"Tier 2 ","Tier 3 "))</f>
        <v xml:space="preserve">Tier 2 </v>
      </c>
      <c r="O462" t="s">
        <v>1032</v>
      </c>
    </row>
    <row r="463" spans="1:15" x14ac:dyDescent="0.25">
      <c r="A463" t="s">
        <v>941</v>
      </c>
      <c r="B463" t="s">
        <v>942</v>
      </c>
      <c r="C463" t="s">
        <v>9</v>
      </c>
      <c r="D463" t="s">
        <v>54</v>
      </c>
      <c r="E463" t="s">
        <v>5</v>
      </c>
      <c r="F463">
        <v>5</v>
      </c>
      <c r="G463" t="b">
        <v>0</v>
      </c>
      <c r="H463" s="3">
        <v>4070</v>
      </c>
      <c r="I463" s="3">
        <v>48840</v>
      </c>
      <c r="J463">
        <v>1</v>
      </c>
      <c r="K463">
        <v>3</v>
      </c>
      <c r="L463">
        <v>0</v>
      </c>
      <c r="M463" t="s">
        <v>11</v>
      </c>
      <c r="N463" t="str">
        <f>IF(tblCustomer[[#This Row],[Monthly Revenue]]&gt;=30000, "Tier 1 ", IF(tblCustomer[[#This Row],[Monthly Revenue]]&gt;= 15000,"Tier 2 ","Tier 3 "))</f>
        <v xml:space="preserve">Tier 3 </v>
      </c>
      <c r="O463" t="s">
        <v>1028</v>
      </c>
    </row>
    <row r="464" spans="1:15" x14ac:dyDescent="0.25">
      <c r="A464" t="s">
        <v>943</v>
      </c>
      <c r="B464" t="s">
        <v>944</v>
      </c>
      <c r="C464" t="s">
        <v>27</v>
      </c>
      <c r="D464" t="s">
        <v>4</v>
      </c>
      <c r="E464" t="s">
        <v>28</v>
      </c>
      <c r="F464">
        <v>29</v>
      </c>
      <c r="G464" t="b">
        <v>0</v>
      </c>
      <c r="H464" s="3">
        <v>2523</v>
      </c>
      <c r="I464" s="3">
        <v>30276</v>
      </c>
      <c r="J464">
        <v>2</v>
      </c>
      <c r="K464">
        <v>2</v>
      </c>
      <c r="L464">
        <v>15</v>
      </c>
      <c r="M464" t="s">
        <v>11</v>
      </c>
      <c r="N464" t="str">
        <f>IF(tblCustomer[[#This Row],[Monthly Revenue]]&gt;=30000, "Tier 1 ", IF(tblCustomer[[#This Row],[Monthly Revenue]]&gt;= 15000,"Tier 2 ","Tier 3 "))</f>
        <v xml:space="preserve">Tier 3 </v>
      </c>
      <c r="O464" t="s">
        <v>1030</v>
      </c>
    </row>
    <row r="465" spans="1:15" x14ac:dyDescent="0.25">
      <c r="A465" t="s">
        <v>945</v>
      </c>
      <c r="B465" t="s">
        <v>946</v>
      </c>
      <c r="C465" t="s">
        <v>14</v>
      </c>
      <c r="D465" t="s">
        <v>90</v>
      </c>
      <c r="E465" t="s">
        <v>22</v>
      </c>
      <c r="F465">
        <v>12</v>
      </c>
      <c r="G465" t="b">
        <v>1</v>
      </c>
      <c r="H465" s="3">
        <v>14152</v>
      </c>
      <c r="I465" s="3">
        <v>169824</v>
      </c>
      <c r="J465">
        <v>5</v>
      </c>
      <c r="K465">
        <v>2.4</v>
      </c>
      <c r="L465">
        <v>55</v>
      </c>
      <c r="M465" t="s">
        <v>6</v>
      </c>
      <c r="N465" t="str">
        <f>IF(tblCustomer[[#This Row],[Monthly Revenue]]&gt;=30000, "Tier 1 ", IF(tblCustomer[[#This Row],[Monthly Revenue]]&gt;= 15000,"Tier 2 ","Tier 3 "))</f>
        <v xml:space="preserve">Tier 3 </v>
      </c>
      <c r="O465" t="s">
        <v>1031</v>
      </c>
    </row>
    <row r="466" spans="1:15" x14ac:dyDescent="0.25">
      <c r="A466" t="s">
        <v>947</v>
      </c>
      <c r="B466" t="s">
        <v>948</v>
      </c>
      <c r="C466" t="s">
        <v>9</v>
      </c>
      <c r="D466" t="s">
        <v>71</v>
      </c>
      <c r="E466" t="s">
        <v>28</v>
      </c>
      <c r="F466">
        <v>3</v>
      </c>
      <c r="G466" t="b">
        <v>0</v>
      </c>
      <c r="H466" s="3">
        <v>19060</v>
      </c>
      <c r="I466" s="3">
        <v>228720</v>
      </c>
      <c r="J466">
        <v>3</v>
      </c>
      <c r="K466">
        <v>2.67</v>
      </c>
      <c r="L466">
        <v>0</v>
      </c>
      <c r="M466" t="s">
        <v>11</v>
      </c>
      <c r="N466" t="str">
        <f>IF(tblCustomer[[#This Row],[Monthly Revenue]]&gt;=30000, "Tier 1 ", IF(tblCustomer[[#This Row],[Monthly Revenue]]&gt;= 15000,"Tier 2 ","Tier 3 "))</f>
        <v xml:space="preserve">Tier 2 </v>
      </c>
      <c r="O466" t="s">
        <v>1028</v>
      </c>
    </row>
    <row r="467" spans="1:15" x14ac:dyDescent="0.25">
      <c r="A467" t="s">
        <v>949</v>
      </c>
      <c r="B467" t="s">
        <v>950</v>
      </c>
      <c r="C467" t="s">
        <v>3</v>
      </c>
      <c r="D467" t="s">
        <v>4</v>
      </c>
      <c r="E467" t="s">
        <v>22</v>
      </c>
      <c r="F467">
        <v>35</v>
      </c>
      <c r="G467" t="b">
        <v>0</v>
      </c>
      <c r="H467" s="3">
        <v>29085</v>
      </c>
      <c r="I467" s="3">
        <v>349020</v>
      </c>
      <c r="J467">
        <v>5</v>
      </c>
      <c r="K467">
        <v>2.6</v>
      </c>
      <c r="L467">
        <v>10</v>
      </c>
      <c r="M467" t="s">
        <v>11</v>
      </c>
      <c r="N467" t="str">
        <f>IF(tblCustomer[[#This Row],[Monthly Revenue]]&gt;=30000, "Tier 1 ", IF(tblCustomer[[#This Row],[Monthly Revenue]]&gt;= 15000,"Tier 2 ","Tier 3 "))</f>
        <v xml:space="preserve">Tier 2 </v>
      </c>
      <c r="O467" t="s">
        <v>1032</v>
      </c>
    </row>
    <row r="468" spans="1:15" x14ac:dyDescent="0.25">
      <c r="A468" t="s">
        <v>951</v>
      </c>
      <c r="B468" t="s">
        <v>952</v>
      </c>
      <c r="C468" t="s">
        <v>9</v>
      </c>
      <c r="D468" t="s">
        <v>4</v>
      </c>
      <c r="E468" t="s">
        <v>28</v>
      </c>
      <c r="F468">
        <v>19</v>
      </c>
      <c r="G468" t="b">
        <v>1</v>
      </c>
      <c r="H468" s="3">
        <v>26608</v>
      </c>
      <c r="I468" s="3">
        <v>319296</v>
      </c>
      <c r="J468">
        <v>5</v>
      </c>
      <c r="K468">
        <v>3.6</v>
      </c>
      <c r="L468">
        <v>40</v>
      </c>
      <c r="M468" t="s">
        <v>6</v>
      </c>
      <c r="N468" t="str">
        <f>IF(tblCustomer[[#This Row],[Monthly Revenue]]&gt;=30000, "Tier 1 ", IF(tblCustomer[[#This Row],[Monthly Revenue]]&gt;= 15000,"Tier 2 ","Tier 3 "))</f>
        <v xml:space="preserve">Tier 2 </v>
      </c>
      <c r="O468" t="s">
        <v>1031</v>
      </c>
    </row>
    <row r="469" spans="1:15" x14ac:dyDescent="0.25">
      <c r="A469" t="s">
        <v>953</v>
      </c>
      <c r="B469" t="s">
        <v>954</v>
      </c>
      <c r="C469" t="s">
        <v>9</v>
      </c>
      <c r="D469" t="s">
        <v>4</v>
      </c>
      <c r="E469" t="s">
        <v>28</v>
      </c>
      <c r="F469">
        <v>3</v>
      </c>
      <c r="G469" t="b">
        <v>0</v>
      </c>
      <c r="H469" s="3">
        <v>8775</v>
      </c>
      <c r="I469" s="3">
        <v>105300</v>
      </c>
      <c r="J469">
        <v>0</v>
      </c>
      <c r="K469">
        <v>0</v>
      </c>
      <c r="L469">
        <v>0</v>
      </c>
      <c r="M469" t="s">
        <v>11</v>
      </c>
      <c r="N469" t="str">
        <f>IF(tblCustomer[[#This Row],[Monthly Revenue]]&gt;=30000, "Tier 1 ", IF(tblCustomer[[#This Row],[Monthly Revenue]]&gt;= 15000,"Tier 2 ","Tier 3 "))</f>
        <v xml:space="preserve">Tier 3 </v>
      </c>
      <c r="O469" t="s">
        <v>1030</v>
      </c>
    </row>
    <row r="470" spans="1:15" x14ac:dyDescent="0.25">
      <c r="A470" t="s">
        <v>955</v>
      </c>
      <c r="B470" t="s">
        <v>956</v>
      </c>
      <c r="C470" t="s">
        <v>27</v>
      </c>
      <c r="D470" t="s">
        <v>4</v>
      </c>
      <c r="E470" t="s">
        <v>5</v>
      </c>
      <c r="F470">
        <v>21</v>
      </c>
      <c r="G470" t="b">
        <v>0</v>
      </c>
      <c r="H470" s="3">
        <v>10381</v>
      </c>
      <c r="I470" s="3">
        <v>124572</v>
      </c>
      <c r="J470">
        <v>6</v>
      </c>
      <c r="K470">
        <v>1.5</v>
      </c>
      <c r="L470">
        <v>55</v>
      </c>
      <c r="M470" t="s">
        <v>6</v>
      </c>
      <c r="N470" t="str">
        <f>IF(tblCustomer[[#This Row],[Monthly Revenue]]&gt;=30000, "Tier 1 ", IF(tblCustomer[[#This Row],[Monthly Revenue]]&gt;= 15000,"Tier 2 ","Tier 3 "))</f>
        <v xml:space="preserve">Tier 3 </v>
      </c>
      <c r="O470" t="s">
        <v>1030</v>
      </c>
    </row>
    <row r="471" spans="1:15" x14ac:dyDescent="0.25">
      <c r="A471" t="s">
        <v>957</v>
      </c>
      <c r="B471" t="s">
        <v>958</v>
      </c>
      <c r="C471" t="s">
        <v>14</v>
      </c>
      <c r="D471" t="s">
        <v>4</v>
      </c>
      <c r="E471" t="s">
        <v>5</v>
      </c>
      <c r="F471">
        <v>32</v>
      </c>
      <c r="G471" t="b">
        <v>0</v>
      </c>
      <c r="H471" s="3">
        <v>21567</v>
      </c>
      <c r="I471" s="3">
        <v>258804</v>
      </c>
      <c r="J471">
        <v>3</v>
      </c>
      <c r="K471">
        <v>1.33</v>
      </c>
      <c r="L471">
        <v>30</v>
      </c>
      <c r="M471" t="s">
        <v>11</v>
      </c>
      <c r="N471" t="str">
        <f>IF(tblCustomer[[#This Row],[Monthly Revenue]]&gt;=30000, "Tier 1 ", IF(tblCustomer[[#This Row],[Monthly Revenue]]&gt;= 15000,"Tier 2 ","Tier 3 "))</f>
        <v xml:space="preserve">Tier 2 </v>
      </c>
      <c r="O471" t="s">
        <v>1032</v>
      </c>
    </row>
    <row r="472" spans="1:15" x14ac:dyDescent="0.25">
      <c r="A472" t="s">
        <v>959</v>
      </c>
      <c r="B472" t="s">
        <v>960</v>
      </c>
      <c r="C472" t="s">
        <v>14</v>
      </c>
      <c r="D472" t="s">
        <v>4</v>
      </c>
      <c r="E472" t="s">
        <v>28</v>
      </c>
      <c r="F472">
        <v>4</v>
      </c>
      <c r="G472" t="b">
        <v>0</v>
      </c>
      <c r="H472" s="3">
        <v>48726</v>
      </c>
      <c r="I472" s="3">
        <v>584712</v>
      </c>
      <c r="J472">
        <v>2</v>
      </c>
      <c r="K472">
        <v>4</v>
      </c>
      <c r="L472">
        <v>30</v>
      </c>
      <c r="M472" t="s">
        <v>11</v>
      </c>
      <c r="N472" t="str">
        <f>IF(tblCustomer[[#This Row],[Monthly Revenue]]&gt;=30000, "Tier 1 ", IF(tblCustomer[[#This Row],[Monthly Revenue]]&gt;= 15000,"Tier 2 ","Tier 3 "))</f>
        <v xml:space="preserve">Tier 1 </v>
      </c>
      <c r="O472" t="s">
        <v>1031</v>
      </c>
    </row>
    <row r="473" spans="1:15" x14ac:dyDescent="0.25">
      <c r="A473" t="s">
        <v>961</v>
      </c>
      <c r="B473" t="s">
        <v>962</v>
      </c>
      <c r="C473" t="s">
        <v>17</v>
      </c>
      <c r="D473" t="s">
        <v>10</v>
      </c>
      <c r="E473" t="s">
        <v>28</v>
      </c>
      <c r="F473">
        <v>1</v>
      </c>
      <c r="G473" t="b">
        <v>0</v>
      </c>
      <c r="H473" s="3">
        <v>22379</v>
      </c>
      <c r="I473" s="3">
        <v>268548</v>
      </c>
      <c r="J473">
        <v>4</v>
      </c>
      <c r="K473">
        <v>2.75</v>
      </c>
      <c r="L473">
        <v>30</v>
      </c>
      <c r="M473" t="s">
        <v>11</v>
      </c>
      <c r="N473" t="str">
        <f>IF(tblCustomer[[#This Row],[Monthly Revenue]]&gt;=30000, "Tier 1 ", IF(tblCustomer[[#This Row],[Monthly Revenue]]&gt;= 15000,"Tier 2 ","Tier 3 "))</f>
        <v xml:space="preserve">Tier 2 </v>
      </c>
      <c r="O473" t="s">
        <v>1029</v>
      </c>
    </row>
    <row r="474" spans="1:15" x14ac:dyDescent="0.25">
      <c r="A474" t="s">
        <v>963</v>
      </c>
      <c r="B474" t="s">
        <v>964</v>
      </c>
      <c r="C474" t="s">
        <v>27</v>
      </c>
      <c r="D474" t="s">
        <v>18</v>
      </c>
      <c r="E474" t="s">
        <v>22</v>
      </c>
      <c r="F474">
        <v>1</v>
      </c>
      <c r="G474" t="b">
        <v>0</v>
      </c>
      <c r="H474" s="3">
        <v>16875</v>
      </c>
      <c r="I474" s="3">
        <v>202500</v>
      </c>
      <c r="J474">
        <v>4</v>
      </c>
      <c r="K474">
        <v>3.5</v>
      </c>
      <c r="L474">
        <v>0</v>
      </c>
      <c r="M474" t="s">
        <v>11</v>
      </c>
      <c r="N474" t="str">
        <f>IF(tblCustomer[[#This Row],[Monthly Revenue]]&gt;=30000, "Tier 1 ", IF(tblCustomer[[#This Row],[Monthly Revenue]]&gt;= 15000,"Tier 2 ","Tier 3 "))</f>
        <v xml:space="preserve">Tier 2 </v>
      </c>
      <c r="O474" t="s">
        <v>1028</v>
      </c>
    </row>
    <row r="475" spans="1:15" x14ac:dyDescent="0.25">
      <c r="A475" t="s">
        <v>965</v>
      </c>
      <c r="B475" t="s">
        <v>966</v>
      </c>
      <c r="C475" t="s">
        <v>14</v>
      </c>
      <c r="D475" t="s">
        <v>4</v>
      </c>
      <c r="E475" t="s">
        <v>22</v>
      </c>
      <c r="F475">
        <v>54</v>
      </c>
      <c r="G475" t="b">
        <v>0</v>
      </c>
      <c r="H475" s="3">
        <v>33966</v>
      </c>
      <c r="I475" s="3">
        <v>407592</v>
      </c>
      <c r="J475">
        <v>5</v>
      </c>
      <c r="K475">
        <v>3.4</v>
      </c>
      <c r="L475">
        <v>10</v>
      </c>
      <c r="M475" t="s">
        <v>11</v>
      </c>
      <c r="N475" t="str">
        <f>IF(tblCustomer[[#This Row],[Monthly Revenue]]&gt;=30000, "Tier 1 ", IF(tblCustomer[[#This Row],[Monthly Revenue]]&gt;= 15000,"Tier 2 ","Tier 3 "))</f>
        <v xml:space="preserve">Tier 1 </v>
      </c>
      <c r="O475" t="s">
        <v>1032</v>
      </c>
    </row>
    <row r="476" spans="1:15" x14ac:dyDescent="0.25">
      <c r="A476" t="s">
        <v>967</v>
      </c>
      <c r="B476" t="s">
        <v>968</v>
      </c>
      <c r="C476" t="s">
        <v>27</v>
      </c>
      <c r="D476" t="s">
        <v>18</v>
      </c>
      <c r="E476" t="s">
        <v>28</v>
      </c>
      <c r="F476">
        <v>1</v>
      </c>
      <c r="G476" t="b">
        <v>0</v>
      </c>
      <c r="H476" s="3">
        <v>35868</v>
      </c>
      <c r="I476" s="3">
        <v>430416</v>
      </c>
      <c r="J476">
        <v>2</v>
      </c>
      <c r="K476">
        <v>2</v>
      </c>
      <c r="L476">
        <v>45</v>
      </c>
      <c r="M476" t="s">
        <v>6</v>
      </c>
      <c r="N476" t="str">
        <f>IF(tblCustomer[[#This Row],[Monthly Revenue]]&gt;=30000, "Tier 1 ", IF(tblCustomer[[#This Row],[Monthly Revenue]]&gt;= 15000,"Tier 2 ","Tier 3 "))</f>
        <v xml:space="preserve">Tier 1 </v>
      </c>
      <c r="O476" t="s">
        <v>1030</v>
      </c>
    </row>
    <row r="477" spans="1:15" x14ac:dyDescent="0.25">
      <c r="A477" t="s">
        <v>969</v>
      </c>
      <c r="B477" t="s">
        <v>970</v>
      </c>
      <c r="C477" t="s">
        <v>9</v>
      </c>
      <c r="D477" t="s">
        <v>4</v>
      </c>
      <c r="E477" t="s">
        <v>28</v>
      </c>
      <c r="F477">
        <v>67</v>
      </c>
      <c r="G477" t="b">
        <v>0</v>
      </c>
      <c r="H477" s="3">
        <v>71020</v>
      </c>
      <c r="I477" s="3">
        <v>852240</v>
      </c>
      <c r="J477">
        <v>8</v>
      </c>
      <c r="K477">
        <v>2</v>
      </c>
      <c r="L477">
        <v>65</v>
      </c>
      <c r="M477" t="s">
        <v>19</v>
      </c>
      <c r="N477" t="str">
        <f>IF(tblCustomer[[#This Row],[Monthly Revenue]]&gt;=30000, "Tier 1 ", IF(tblCustomer[[#This Row],[Monthly Revenue]]&gt;= 15000,"Tier 2 ","Tier 3 "))</f>
        <v xml:space="preserve">Tier 1 </v>
      </c>
      <c r="O477" t="s">
        <v>1032</v>
      </c>
    </row>
    <row r="478" spans="1:15" x14ac:dyDescent="0.25">
      <c r="A478" t="s">
        <v>971</v>
      </c>
      <c r="B478" t="s">
        <v>972</v>
      </c>
      <c r="C478" t="s">
        <v>14</v>
      </c>
      <c r="D478" t="s">
        <v>10</v>
      </c>
      <c r="E478" t="s">
        <v>28</v>
      </c>
      <c r="F478">
        <v>20</v>
      </c>
      <c r="G478" t="b">
        <v>0</v>
      </c>
      <c r="H478" s="3">
        <v>26703</v>
      </c>
      <c r="I478" s="3">
        <v>320436</v>
      </c>
      <c r="J478">
        <v>3</v>
      </c>
      <c r="K478">
        <v>4.67</v>
      </c>
      <c r="L478">
        <v>30</v>
      </c>
      <c r="M478" t="s">
        <v>11</v>
      </c>
      <c r="N478" t="str">
        <f>IF(tblCustomer[[#This Row],[Monthly Revenue]]&gt;=30000, "Tier 1 ", IF(tblCustomer[[#This Row],[Monthly Revenue]]&gt;= 15000,"Tier 2 ","Tier 3 "))</f>
        <v xml:space="preserve">Tier 2 </v>
      </c>
      <c r="O478" t="s">
        <v>1029</v>
      </c>
    </row>
    <row r="479" spans="1:15" x14ac:dyDescent="0.25">
      <c r="A479" t="s">
        <v>973</v>
      </c>
      <c r="B479" t="s">
        <v>974</v>
      </c>
      <c r="C479" t="s">
        <v>17</v>
      </c>
      <c r="D479" t="s">
        <v>54</v>
      </c>
      <c r="E479" t="s">
        <v>22</v>
      </c>
      <c r="F479">
        <v>14</v>
      </c>
      <c r="G479" t="b">
        <v>0</v>
      </c>
      <c r="H479" s="3">
        <v>15381</v>
      </c>
      <c r="I479" s="3">
        <v>184572</v>
      </c>
      <c r="J479">
        <v>1</v>
      </c>
      <c r="K479">
        <v>5</v>
      </c>
      <c r="L479">
        <v>0</v>
      </c>
      <c r="M479" t="s">
        <v>11</v>
      </c>
      <c r="N479" t="str">
        <f>IF(tblCustomer[[#This Row],[Monthly Revenue]]&gt;=30000, "Tier 1 ", IF(tblCustomer[[#This Row],[Monthly Revenue]]&gt;= 15000,"Tier 2 ","Tier 3 "))</f>
        <v xml:space="preserve">Tier 2 </v>
      </c>
      <c r="O479" t="s">
        <v>1030</v>
      </c>
    </row>
    <row r="480" spans="1:15" x14ac:dyDescent="0.25">
      <c r="A480" t="s">
        <v>975</v>
      </c>
      <c r="B480" t="s">
        <v>976</v>
      </c>
      <c r="C480" t="s">
        <v>9</v>
      </c>
      <c r="D480" t="s">
        <v>18</v>
      </c>
      <c r="E480" t="s">
        <v>5</v>
      </c>
      <c r="F480">
        <v>3</v>
      </c>
      <c r="G480" t="b">
        <v>0</v>
      </c>
      <c r="H480" s="3">
        <v>22770</v>
      </c>
      <c r="I480" s="3">
        <v>273240</v>
      </c>
      <c r="J480">
        <v>5</v>
      </c>
      <c r="K480">
        <v>2.6</v>
      </c>
      <c r="L480">
        <v>40</v>
      </c>
      <c r="M480" t="s">
        <v>6</v>
      </c>
      <c r="N480" t="str">
        <f>IF(tblCustomer[[#This Row],[Monthly Revenue]]&gt;=30000, "Tier 1 ", IF(tblCustomer[[#This Row],[Monthly Revenue]]&gt;= 15000,"Tier 2 ","Tier 3 "))</f>
        <v xml:space="preserve">Tier 2 </v>
      </c>
      <c r="O480" t="s">
        <v>1027</v>
      </c>
    </row>
    <row r="481" spans="1:15" x14ac:dyDescent="0.25">
      <c r="A481" t="s">
        <v>977</v>
      </c>
      <c r="B481" t="s">
        <v>978</v>
      </c>
      <c r="C481" t="s">
        <v>14</v>
      </c>
      <c r="D481" t="s">
        <v>4</v>
      </c>
      <c r="E481" t="s">
        <v>5</v>
      </c>
      <c r="F481">
        <v>24</v>
      </c>
      <c r="G481" t="b">
        <v>0</v>
      </c>
      <c r="H481" s="3">
        <v>15478</v>
      </c>
      <c r="I481" s="3">
        <v>185736</v>
      </c>
      <c r="J481">
        <v>5</v>
      </c>
      <c r="K481">
        <v>1</v>
      </c>
      <c r="L481">
        <v>70</v>
      </c>
      <c r="M481" t="s">
        <v>19</v>
      </c>
      <c r="N481" t="str">
        <f>IF(tblCustomer[[#This Row],[Monthly Revenue]]&gt;=30000, "Tier 1 ", IF(tblCustomer[[#This Row],[Monthly Revenue]]&gt;= 15000,"Tier 2 ","Tier 3 "))</f>
        <v xml:space="preserve">Tier 2 </v>
      </c>
      <c r="O481" t="s">
        <v>1032</v>
      </c>
    </row>
    <row r="482" spans="1:15" x14ac:dyDescent="0.25">
      <c r="A482" t="s">
        <v>979</v>
      </c>
      <c r="B482" t="s">
        <v>980</v>
      </c>
      <c r="C482" t="s">
        <v>3</v>
      </c>
      <c r="D482" t="s">
        <v>4</v>
      </c>
      <c r="E482" t="s">
        <v>22</v>
      </c>
      <c r="F482">
        <v>70</v>
      </c>
      <c r="G482" t="b">
        <v>0</v>
      </c>
      <c r="H482" s="3">
        <v>70980</v>
      </c>
      <c r="I482" s="3">
        <v>851760</v>
      </c>
      <c r="J482">
        <v>3</v>
      </c>
      <c r="K482">
        <v>1.67</v>
      </c>
      <c r="L482">
        <v>45</v>
      </c>
      <c r="M482" t="s">
        <v>6</v>
      </c>
      <c r="N482" t="str">
        <f>IF(tblCustomer[[#This Row],[Monthly Revenue]]&gt;=30000, "Tier 1 ", IF(tblCustomer[[#This Row],[Monthly Revenue]]&gt;= 15000,"Tier 2 ","Tier 3 "))</f>
        <v xml:space="preserve">Tier 1 </v>
      </c>
      <c r="O482" t="s">
        <v>1032</v>
      </c>
    </row>
    <row r="483" spans="1:15" x14ac:dyDescent="0.25">
      <c r="A483" t="s">
        <v>981</v>
      </c>
      <c r="B483" t="s">
        <v>982</v>
      </c>
      <c r="C483" t="s">
        <v>17</v>
      </c>
      <c r="D483" t="s">
        <v>4</v>
      </c>
      <c r="E483" t="s">
        <v>28</v>
      </c>
      <c r="F483">
        <v>11</v>
      </c>
      <c r="G483" t="b">
        <v>1</v>
      </c>
      <c r="H483" s="3">
        <v>17823</v>
      </c>
      <c r="I483" s="3">
        <v>213876</v>
      </c>
      <c r="J483">
        <v>4</v>
      </c>
      <c r="K483">
        <v>2</v>
      </c>
      <c r="L483">
        <v>15</v>
      </c>
      <c r="M483" t="s">
        <v>11</v>
      </c>
      <c r="N483" t="str">
        <f>IF(tblCustomer[[#This Row],[Monthly Revenue]]&gt;=30000, "Tier 1 ", IF(tblCustomer[[#This Row],[Monthly Revenue]]&gt;= 15000,"Tier 2 ","Tier 3 "))</f>
        <v xml:space="preserve">Tier 2 </v>
      </c>
      <c r="O483" t="s">
        <v>1030</v>
      </c>
    </row>
    <row r="484" spans="1:15" x14ac:dyDescent="0.25">
      <c r="A484" t="s">
        <v>983</v>
      </c>
      <c r="B484" t="s">
        <v>984</v>
      </c>
      <c r="C484" t="s">
        <v>14</v>
      </c>
      <c r="D484" t="s">
        <v>4</v>
      </c>
      <c r="E484" t="s">
        <v>22</v>
      </c>
      <c r="F484">
        <v>23</v>
      </c>
      <c r="G484" t="b">
        <v>0</v>
      </c>
      <c r="H484" s="3">
        <v>15600</v>
      </c>
      <c r="I484" s="3">
        <v>187200</v>
      </c>
      <c r="J484">
        <v>2</v>
      </c>
      <c r="K484">
        <v>3.5</v>
      </c>
      <c r="L484">
        <v>30</v>
      </c>
      <c r="M484" t="s">
        <v>11</v>
      </c>
      <c r="N484" t="str">
        <f>IF(tblCustomer[[#This Row],[Monthly Revenue]]&gt;=30000, "Tier 1 ", IF(tblCustomer[[#This Row],[Monthly Revenue]]&gt;= 15000,"Tier 2 ","Tier 3 "))</f>
        <v xml:space="preserve">Tier 2 </v>
      </c>
      <c r="O484" t="s">
        <v>1030</v>
      </c>
    </row>
    <row r="485" spans="1:15" x14ac:dyDescent="0.25">
      <c r="A485" t="s">
        <v>985</v>
      </c>
      <c r="B485" t="s">
        <v>986</v>
      </c>
      <c r="C485" t="s">
        <v>14</v>
      </c>
      <c r="D485" t="s">
        <v>4</v>
      </c>
      <c r="E485" t="s">
        <v>28</v>
      </c>
      <c r="F485">
        <v>22</v>
      </c>
      <c r="G485" t="b">
        <v>0</v>
      </c>
      <c r="H485" s="3">
        <v>10252</v>
      </c>
      <c r="I485" s="3">
        <v>123024</v>
      </c>
      <c r="J485">
        <v>2</v>
      </c>
      <c r="K485">
        <v>2</v>
      </c>
      <c r="L485">
        <v>45</v>
      </c>
      <c r="M485" t="s">
        <v>6</v>
      </c>
      <c r="N485" t="str">
        <f>IF(tblCustomer[[#This Row],[Monthly Revenue]]&gt;=30000, "Tier 1 ", IF(tblCustomer[[#This Row],[Monthly Revenue]]&gt;= 15000,"Tier 2 ","Tier 3 "))</f>
        <v xml:space="preserve">Tier 3 </v>
      </c>
      <c r="O485" t="s">
        <v>1027</v>
      </c>
    </row>
    <row r="486" spans="1:15" x14ac:dyDescent="0.25">
      <c r="A486" t="s">
        <v>987</v>
      </c>
      <c r="B486" t="s">
        <v>988</v>
      </c>
      <c r="C486" t="s">
        <v>14</v>
      </c>
      <c r="D486" t="s">
        <v>4</v>
      </c>
      <c r="E486" t="s">
        <v>28</v>
      </c>
      <c r="F486">
        <v>40</v>
      </c>
      <c r="G486" t="b">
        <v>1</v>
      </c>
      <c r="H486" s="3">
        <v>37042</v>
      </c>
      <c r="I486" s="3">
        <v>444504</v>
      </c>
      <c r="J486">
        <v>1</v>
      </c>
      <c r="K486">
        <v>3</v>
      </c>
      <c r="L486">
        <v>30</v>
      </c>
      <c r="M486" t="s">
        <v>11</v>
      </c>
      <c r="N486" t="str">
        <f>IF(tblCustomer[[#This Row],[Monthly Revenue]]&gt;=30000, "Tier 1 ", IF(tblCustomer[[#This Row],[Monthly Revenue]]&gt;= 15000,"Tier 2 ","Tier 3 "))</f>
        <v xml:space="preserve">Tier 1 </v>
      </c>
      <c r="O486" t="s">
        <v>1027</v>
      </c>
    </row>
    <row r="487" spans="1:15" x14ac:dyDescent="0.25">
      <c r="A487" t="s">
        <v>989</v>
      </c>
      <c r="B487" t="s">
        <v>990</v>
      </c>
      <c r="C487" t="s">
        <v>3</v>
      </c>
      <c r="D487" t="s">
        <v>4</v>
      </c>
      <c r="E487" t="s">
        <v>22</v>
      </c>
      <c r="F487">
        <v>53</v>
      </c>
      <c r="G487" t="b">
        <v>0</v>
      </c>
      <c r="H487" s="3">
        <v>41267</v>
      </c>
      <c r="I487" s="3">
        <v>495204</v>
      </c>
      <c r="J487">
        <v>3</v>
      </c>
      <c r="K487">
        <v>2.33</v>
      </c>
      <c r="L487">
        <v>45</v>
      </c>
      <c r="M487" t="s">
        <v>6</v>
      </c>
      <c r="N487" t="str">
        <f>IF(tblCustomer[[#This Row],[Monthly Revenue]]&gt;=30000, "Tier 1 ", IF(tblCustomer[[#This Row],[Monthly Revenue]]&gt;= 15000,"Tier 2 ","Tier 3 "))</f>
        <v xml:space="preserve">Tier 1 </v>
      </c>
      <c r="O487" t="s">
        <v>1027</v>
      </c>
    </row>
    <row r="488" spans="1:15" x14ac:dyDescent="0.25">
      <c r="A488" t="s">
        <v>991</v>
      </c>
      <c r="B488" t="s">
        <v>992</v>
      </c>
      <c r="C488" t="s">
        <v>14</v>
      </c>
      <c r="D488" t="s">
        <v>4</v>
      </c>
      <c r="E488" t="s">
        <v>22</v>
      </c>
      <c r="F488">
        <v>4</v>
      </c>
      <c r="G488" t="b">
        <v>0</v>
      </c>
      <c r="H488" s="3">
        <v>23049</v>
      </c>
      <c r="I488" s="3">
        <v>276588</v>
      </c>
      <c r="J488">
        <v>5</v>
      </c>
      <c r="K488">
        <v>1.6</v>
      </c>
      <c r="L488">
        <v>55</v>
      </c>
      <c r="M488" t="s">
        <v>6</v>
      </c>
      <c r="N488" t="str">
        <f>IF(tblCustomer[[#This Row],[Monthly Revenue]]&gt;=30000, "Tier 1 ", IF(tblCustomer[[#This Row],[Monthly Revenue]]&gt;= 15000,"Tier 2 ","Tier 3 "))</f>
        <v xml:space="preserve">Tier 2 </v>
      </c>
      <c r="O488" t="s">
        <v>1029</v>
      </c>
    </row>
    <row r="489" spans="1:15" x14ac:dyDescent="0.25">
      <c r="A489" t="s">
        <v>993</v>
      </c>
      <c r="B489" t="s">
        <v>994</v>
      </c>
      <c r="C489" t="s">
        <v>17</v>
      </c>
      <c r="D489" t="s">
        <v>4</v>
      </c>
      <c r="E489" t="s">
        <v>28</v>
      </c>
      <c r="F489">
        <v>21</v>
      </c>
      <c r="G489" t="b">
        <v>0</v>
      </c>
      <c r="H489" s="3">
        <v>26626</v>
      </c>
      <c r="I489" s="3">
        <v>319512</v>
      </c>
      <c r="J489">
        <v>3</v>
      </c>
      <c r="K489">
        <v>1.67</v>
      </c>
      <c r="L489">
        <v>45</v>
      </c>
      <c r="M489" t="s">
        <v>6</v>
      </c>
      <c r="N489" t="str">
        <f>IF(tblCustomer[[#This Row],[Monthly Revenue]]&gt;=30000, "Tier 1 ", IF(tblCustomer[[#This Row],[Monthly Revenue]]&gt;= 15000,"Tier 2 ","Tier 3 "))</f>
        <v xml:space="preserve">Tier 2 </v>
      </c>
      <c r="O489" t="s">
        <v>1029</v>
      </c>
    </row>
    <row r="490" spans="1:15" x14ac:dyDescent="0.25">
      <c r="A490" t="s">
        <v>995</v>
      </c>
      <c r="B490" t="s">
        <v>996</v>
      </c>
      <c r="C490" t="s">
        <v>3</v>
      </c>
      <c r="D490" t="s">
        <v>4</v>
      </c>
      <c r="E490" t="s">
        <v>5</v>
      </c>
      <c r="F490">
        <v>148</v>
      </c>
      <c r="G490" t="b">
        <v>0</v>
      </c>
      <c r="H490" s="3">
        <v>78588</v>
      </c>
      <c r="I490" s="3">
        <v>943056</v>
      </c>
      <c r="J490">
        <v>5</v>
      </c>
      <c r="K490">
        <v>3.8</v>
      </c>
      <c r="L490">
        <v>40</v>
      </c>
      <c r="M490" t="s">
        <v>6</v>
      </c>
      <c r="N490" t="str">
        <f>IF(tblCustomer[[#This Row],[Monthly Revenue]]&gt;=30000, "Tier 1 ", IF(tblCustomer[[#This Row],[Monthly Revenue]]&gt;= 15000,"Tier 2 ","Tier 3 "))</f>
        <v xml:space="preserve">Tier 1 </v>
      </c>
      <c r="O490" t="s">
        <v>1027</v>
      </c>
    </row>
    <row r="491" spans="1:15" x14ac:dyDescent="0.25">
      <c r="A491" t="s">
        <v>997</v>
      </c>
      <c r="B491" t="s">
        <v>998</v>
      </c>
      <c r="C491" t="s">
        <v>3</v>
      </c>
      <c r="D491" t="s">
        <v>4</v>
      </c>
      <c r="E491" t="s">
        <v>5</v>
      </c>
      <c r="F491">
        <v>10</v>
      </c>
      <c r="G491" t="b">
        <v>0</v>
      </c>
      <c r="H491" s="3">
        <v>28518</v>
      </c>
      <c r="I491" s="3">
        <v>342216</v>
      </c>
      <c r="J491">
        <v>3</v>
      </c>
      <c r="K491">
        <v>1</v>
      </c>
      <c r="L491">
        <v>60</v>
      </c>
      <c r="M491" t="s">
        <v>19</v>
      </c>
      <c r="N491" t="str">
        <f>IF(tblCustomer[[#This Row],[Monthly Revenue]]&gt;=30000, "Tier 1 ", IF(tblCustomer[[#This Row],[Monthly Revenue]]&gt;= 15000,"Tier 2 ","Tier 3 "))</f>
        <v xml:space="preserve">Tier 2 </v>
      </c>
      <c r="O491" t="s">
        <v>1032</v>
      </c>
    </row>
    <row r="492" spans="1:15" x14ac:dyDescent="0.25">
      <c r="A492" t="s">
        <v>999</v>
      </c>
      <c r="B492" t="s">
        <v>1000</v>
      </c>
      <c r="C492" t="s">
        <v>14</v>
      </c>
      <c r="D492" t="s">
        <v>4</v>
      </c>
      <c r="E492" t="s">
        <v>28</v>
      </c>
      <c r="F492">
        <v>16</v>
      </c>
      <c r="G492" t="b">
        <v>0</v>
      </c>
      <c r="H492" s="3">
        <v>26183</v>
      </c>
      <c r="I492" s="3">
        <v>314196</v>
      </c>
      <c r="J492">
        <v>3</v>
      </c>
      <c r="K492">
        <v>1.33</v>
      </c>
      <c r="L492">
        <v>60</v>
      </c>
      <c r="M492" t="s">
        <v>19</v>
      </c>
      <c r="N492" t="str">
        <f>IF(tblCustomer[[#This Row],[Monthly Revenue]]&gt;=30000, "Tier 1 ", IF(tblCustomer[[#This Row],[Monthly Revenue]]&gt;= 15000,"Tier 2 ","Tier 3 "))</f>
        <v xml:space="preserve">Tier 2 </v>
      </c>
      <c r="O492" t="s">
        <v>1031</v>
      </c>
    </row>
    <row r="493" spans="1:15" x14ac:dyDescent="0.25">
      <c r="A493" t="s">
        <v>1001</v>
      </c>
      <c r="B493" t="s">
        <v>1002</v>
      </c>
      <c r="C493" t="s">
        <v>14</v>
      </c>
      <c r="D493" t="s">
        <v>4</v>
      </c>
      <c r="E493" t="s">
        <v>5</v>
      </c>
      <c r="F493">
        <v>10</v>
      </c>
      <c r="G493" t="b">
        <v>0</v>
      </c>
      <c r="H493" s="3">
        <v>21541</v>
      </c>
      <c r="I493" s="3">
        <v>258492</v>
      </c>
      <c r="J493">
        <v>1</v>
      </c>
      <c r="K493">
        <v>4</v>
      </c>
      <c r="L493">
        <v>30</v>
      </c>
      <c r="M493" t="s">
        <v>11</v>
      </c>
      <c r="N493" t="str">
        <f>IF(tblCustomer[[#This Row],[Monthly Revenue]]&gt;=30000, "Tier 1 ", IF(tblCustomer[[#This Row],[Monthly Revenue]]&gt;= 15000,"Tier 2 ","Tier 3 "))</f>
        <v xml:space="preserve">Tier 2 </v>
      </c>
      <c r="O493" t="s">
        <v>1031</v>
      </c>
    </row>
    <row r="494" spans="1:15" x14ac:dyDescent="0.25">
      <c r="A494" t="s">
        <v>1003</v>
      </c>
      <c r="B494" t="s">
        <v>1004</v>
      </c>
      <c r="C494" t="s">
        <v>27</v>
      </c>
      <c r="D494" t="s">
        <v>4</v>
      </c>
      <c r="E494" t="s">
        <v>28</v>
      </c>
      <c r="F494">
        <v>32</v>
      </c>
      <c r="G494" t="b">
        <v>0</v>
      </c>
      <c r="H494" s="3">
        <v>52160</v>
      </c>
      <c r="I494" s="3">
        <v>625920</v>
      </c>
      <c r="J494">
        <v>1</v>
      </c>
      <c r="K494">
        <v>3</v>
      </c>
      <c r="L494">
        <v>30</v>
      </c>
      <c r="M494" t="s">
        <v>11</v>
      </c>
      <c r="N494" t="str">
        <f>IF(tblCustomer[[#This Row],[Monthly Revenue]]&gt;=30000, "Tier 1 ", IF(tblCustomer[[#This Row],[Monthly Revenue]]&gt;= 15000,"Tier 2 ","Tier 3 "))</f>
        <v xml:space="preserve">Tier 1 </v>
      </c>
      <c r="O494" t="s">
        <v>1029</v>
      </c>
    </row>
    <row r="495" spans="1:15" x14ac:dyDescent="0.25">
      <c r="A495" t="s">
        <v>1005</v>
      </c>
      <c r="B495" t="s">
        <v>1006</v>
      </c>
      <c r="C495" t="s">
        <v>9</v>
      </c>
      <c r="D495" t="s">
        <v>10</v>
      </c>
      <c r="E495" t="s">
        <v>5</v>
      </c>
      <c r="F495">
        <v>11</v>
      </c>
      <c r="G495" t="b">
        <v>1</v>
      </c>
      <c r="H495" s="3">
        <v>12445</v>
      </c>
      <c r="I495" s="3">
        <v>149340</v>
      </c>
      <c r="J495">
        <v>3</v>
      </c>
      <c r="K495">
        <v>3</v>
      </c>
      <c r="L495">
        <v>0</v>
      </c>
      <c r="M495" t="s">
        <v>11</v>
      </c>
      <c r="N495" t="str">
        <f>IF(tblCustomer[[#This Row],[Monthly Revenue]]&gt;=30000, "Tier 1 ", IF(tblCustomer[[#This Row],[Monthly Revenue]]&gt;= 15000,"Tier 2 ","Tier 3 "))</f>
        <v xml:space="preserve">Tier 3 </v>
      </c>
      <c r="O495" t="s">
        <v>1032</v>
      </c>
    </row>
    <row r="496" spans="1:15" x14ac:dyDescent="0.25">
      <c r="A496" t="s">
        <v>1007</v>
      </c>
      <c r="B496" t="s">
        <v>1008</v>
      </c>
      <c r="C496" t="s">
        <v>27</v>
      </c>
      <c r="D496" t="s">
        <v>4</v>
      </c>
      <c r="E496" t="s">
        <v>28</v>
      </c>
      <c r="F496">
        <v>15</v>
      </c>
      <c r="G496" t="b">
        <v>0</v>
      </c>
      <c r="H496" s="3">
        <v>7072</v>
      </c>
      <c r="I496" s="3">
        <v>84864</v>
      </c>
      <c r="J496">
        <v>6</v>
      </c>
      <c r="K496">
        <v>3.33</v>
      </c>
      <c r="L496">
        <v>40</v>
      </c>
      <c r="M496" t="s">
        <v>6</v>
      </c>
      <c r="N496" t="str">
        <f>IF(tblCustomer[[#This Row],[Monthly Revenue]]&gt;=30000, "Tier 1 ", IF(tblCustomer[[#This Row],[Monthly Revenue]]&gt;= 15000,"Tier 2 ","Tier 3 "))</f>
        <v xml:space="preserve">Tier 3 </v>
      </c>
      <c r="O496" t="s">
        <v>1029</v>
      </c>
    </row>
    <row r="497" spans="1:15" x14ac:dyDescent="0.25">
      <c r="A497" t="s">
        <v>1009</v>
      </c>
      <c r="B497" t="s">
        <v>1010</v>
      </c>
      <c r="C497" t="s">
        <v>14</v>
      </c>
      <c r="D497" t="s">
        <v>33</v>
      </c>
      <c r="E497" t="s">
        <v>28</v>
      </c>
      <c r="F497">
        <v>9</v>
      </c>
      <c r="G497" t="b">
        <v>0</v>
      </c>
      <c r="H497" s="3">
        <v>4447</v>
      </c>
      <c r="I497" s="3">
        <v>53364</v>
      </c>
      <c r="J497">
        <v>4</v>
      </c>
      <c r="K497">
        <v>1.75</v>
      </c>
      <c r="L497">
        <v>45</v>
      </c>
      <c r="M497" t="s">
        <v>6</v>
      </c>
      <c r="N497" t="str">
        <f>IF(tblCustomer[[#This Row],[Monthly Revenue]]&gt;=30000, "Tier 1 ", IF(tblCustomer[[#This Row],[Monthly Revenue]]&gt;= 15000,"Tier 2 ","Tier 3 "))</f>
        <v xml:space="preserve">Tier 3 </v>
      </c>
      <c r="O497" t="s">
        <v>1029</v>
      </c>
    </row>
    <row r="498" spans="1:15" x14ac:dyDescent="0.25">
      <c r="A498" t="s">
        <v>1011</v>
      </c>
      <c r="B498" t="s">
        <v>1012</v>
      </c>
      <c r="C498" t="s">
        <v>9</v>
      </c>
      <c r="D498" t="s">
        <v>4</v>
      </c>
      <c r="E498" t="s">
        <v>5</v>
      </c>
      <c r="F498">
        <v>9</v>
      </c>
      <c r="G498" t="b">
        <v>0</v>
      </c>
      <c r="H498" s="3">
        <v>12137</v>
      </c>
      <c r="I498" s="3">
        <v>145644</v>
      </c>
      <c r="J498">
        <v>6</v>
      </c>
      <c r="K498">
        <v>3.33</v>
      </c>
      <c r="L498">
        <v>10</v>
      </c>
      <c r="M498" t="s">
        <v>11</v>
      </c>
      <c r="N498" t="str">
        <f>IF(tblCustomer[[#This Row],[Monthly Revenue]]&gt;=30000, "Tier 1 ", IF(tblCustomer[[#This Row],[Monthly Revenue]]&gt;= 15000,"Tier 2 ","Tier 3 "))</f>
        <v xml:space="preserve">Tier 3 </v>
      </c>
      <c r="O498" t="s">
        <v>1027</v>
      </c>
    </row>
    <row r="499" spans="1:15" x14ac:dyDescent="0.25">
      <c r="A499" t="s">
        <v>1013</v>
      </c>
      <c r="B499" t="s">
        <v>1014</v>
      </c>
      <c r="C499" t="s">
        <v>14</v>
      </c>
      <c r="D499" t="s">
        <v>18</v>
      </c>
      <c r="E499" t="s">
        <v>5</v>
      </c>
      <c r="F499">
        <v>9</v>
      </c>
      <c r="G499" t="b">
        <v>1</v>
      </c>
      <c r="H499" s="3">
        <v>16613</v>
      </c>
      <c r="I499" s="3">
        <v>199356</v>
      </c>
      <c r="J499">
        <v>2</v>
      </c>
      <c r="K499">
        <v>2</v>
      </c>
      <c r="L499">
        <v>45</v>
      </c>
      <c r="M499" t="s">
        <v>6</v>
      </c>
      <c r="N499" t="str">
        <f>IF(tblCustomer[[#This Row],[Monthly Revenue]]&gt;=30000, "Tier 1 ", IF(tblCustomer[[#This Row],[Monthly Revenue]]&gt;= 15000,"Tier 2 ","Tier 3 "))</f>
        <v xml:space="preserve">Tier 2 </v>
      </c>
      <c r="O499" t="s">
        <v>1027</v>
      </c>
    </row>
    <row r="500" spans="1:15" x14ac:dyDescent="0.25">
      <c r="A500" t="s">
        <v>1015</v>
      </c>
      <c r="B500" t="s">
        <v>1016</v>
      </c>
      <c r="C500" t="s">
        <v>3</v>
      </c>
      <c r="D500" t="s">
        <v>4</v>
      </c>
      <c r="E500" t="s">
        <v>28</v>
      </c>
      <c r="F500">
        <v>18</v>
      </c>
      <c r="G500" t="b">
        <v>0</v>
      </c>
      <c r="H500" s="3">
        <v>19382</v>
      </c>
      <c r="I500" s="3">
        <v>232584</v>
      </c>
      <c r="J500">
        <v>5</v>
      </c>
      <c r="K500">
        <v>3</v>
      </c>
      <c r="L500">
        <v>40</v>
      </c>
      <c r="M500" t="s">
        <v>6</v>
      </c>
      <c r="N500" t="str">
        <f>IF(tblCustomer[[#This Row],[Monthly Revenue]]&gt;=30000, "Tier 1 ", IF(tblCustomer[[#This Row],[Monthly Revenue]]&gt;= 15000,"Tier 2 ","Tier 3 "))</f>
        <v xml:space="preserve">Tier 2 </v>
      </c>
      <c r="O500" t="s">
        <v>1029</v>
      </c>
    </row>
    <row r="501" spans="1:15" x14ac:dyDescent="0.25">
      <c r="A501" t="s">
        <v>1017</v>
      </c>
      <c r="B501" t="s">
        <v>1018</v>
      </c>
      <c r="C501" t="s">
        <v>3</v>
      </c>
      <c r="D501" t="s">
        <v>4</v>
      </c>
      <c r="E501" t="s">
        <v>28</v>
      </c>
      <c r="F501">
        <v>12</v>
      </c>
      <c r="G501" t="b">
        <v>0</v>
      </c>
      <c r="H501" s="3">
        <v>18315</v>
      </c>
      <c r="I501" s="3">
        <v>219780</v>
      </c>
      <c r="J501">
        <v>4</v>
      </c>
      <c r="K501">
        <v>2.75</v>
      </c>
      <c r="L501">
        <v>30</v>
      </c>
      <c r="M501" t="s">
        <v>11</v>
      </c>
      <c r="N501" t="str">
        <f>IF(tblCustomer[[#This Row],[Monthly Revenue]]&gt;=30000, "Tier 1 ", IF(tblCustomer[[#This Row],[Monthly Revenue]]&gt;= 15000,"Tier 2 ","Tier 3 "))</f>
        <v xml:space="preserve">Tier 2 </v>
      </c>
      <c r="O501" t="s">
        <v>1030</v>
      </c>
    </row>
  </sheetData>
  <phoneticPr fontId="3" type="noConversion"/>
  <conditionalFormatting sqref="H1:H501">
    <cfRule type="dataBar" priority="9">
      <dataBar>
        <cfvo type="min"/>
        <cfvo type="max"/>
        <color rgb="FFFF555A"/>
      </dataBar>
      <extLst>
        <ext xmlns:x14="http://schemas.microsoft.com/office/spreadsheetml/2009/9/main" uri="{B025F937-C7B1-47D3-B67F-A62EFF666E3E}">
          <x14:id>{C9EC378A-C254-42F2-9849-45E90A7F63C4}</x14:id>
        </ext>
      </extLst>
    </cfRule>
  </conditionalFormatting>
  <conditionalFormatting sqref="L1:L501">
    <cfRule type="colorScale" priority="1">
      <colorScale>
        <cfvo type="min"/>
        <cfvo type="percentile" val="50"/>
        <cfvo type="max"/>
        <color rgb="FF63BE7B"/>
        <color rgb="FFFFEB84"/>
        <color rgb="FFF8696B"/>
      </colorScale>
    </cfRule>
  </conditionalFormatting>
  <conditionalFormatting sqref="M1:M501">
    <cfRule type="colorScale" priority="7">
      <colorScale>
        <cfvo type="min"/>
        <cfvo type="percentile" val="50"/>
        <cfvo type="max"/>
        <color rgb="FFF8696B"/>
        <color rgb="FFFFEB84"/>
        <color theme="9" tint="-0.249977111117893"/>
      </colorScale>
    </cfRule>
  </conditionalFormatting>
  <conditionalFormatting sqref="M2:M501">
    <cfRule type="containsText" dxfId="2" priority="2" operator="containsText" text="Low Risk">
      <formula>NOT(ISERROR(SEARCH("Low Risk",M2)))</formula>
    </cfRule>
    <cfRule type="containsText" dxfId="1" priority="4" operator="containsText" text="H">
      <formula>NOT(ISERROR(SEARCH("H",M2)))</formula>
    </cfRule>
    <cfRule type="containsText" dxfId="0" priority="5" operator="containsText" text="Medium Risk">
      <formula>NOT(ISERROR(SEARCH("Medium Risk",M2)))</formula>
    </cfRule>
    <cfRule type="containsText" priority="6" operator="containsText" text="High Risk">
      <formula>NOT(ISERROR(SEARCH("High Risk",M2)))</formula>
    </cfRule>
  </conditionalFormatting>
  <pageMargins left="0.7" right="0.7" top="0.75" bottom="0.75" header="0.3" footer="0.3"/>
  <ignoredErrors>
    <ignoredError sqref="N2:N3" calculatedColumn="1"/>
  </ignoredErrors>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C9EC378A-C254-42F2-9849-45E90A7F63C4}">
            <x14:dataBar minLength="0" maxLength="100" border="1" negativeBarBorderColorSameAsPositive="0">
              <x14:cfvo type="autoMin"/>
              <x14:cfvo type="autoMax"/>
              <x14:borderColor rgb="FFFF555A"/>
              <x14:negativeFillColor rgb="FFFF0000"/>
              <x14:negativeBorderColor rgb="FFFF0000"/>
              <x14:axisColor rgb="FF000000"/>
            </x14:dataBar>
          </x14:cfRule>
          <xm:sqref>H1:H501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C5297925-4602-4FAC-8939-11705944962E}">
  <ds:schemaRefs>
    <ds:schemaRef ds:uri="http://schemas.microsoft.com/DataMashup"/>
  </ds:schemaRefs>
</ds:datastoreItem>
</file>

<file path=customXml/itemProps2.xml><?xml version="1.0" encoding="utf-8"?>
<ds:datastoreItem xmlns:ds="http://schemas.openxmlformats.org/officeDocument/2006/customXml" ds:itemID="{CA170228-5CFA-4D6C-9C12-B5FB62E324F5}">
  <ds:schemaRefs/>
</ds:datastoreItem>
</file>

<file path=customXml/itemProps3.xml><?xml version="1.0" encoding="utf-8"?>
<ds:datastoreItem xmlns:ds="http://schemas.openxmlformats.org/officeDocument/2006/customXml" ds:itemID="{E6D9603D-6437-4421-AF56-D2B3A8D5B8BD}">
  <ds:schemaRefs/>
</ds:datastoreItem>
</file>

<file path=customXml/itemProps4.xml><?xml version="1.0" encoding="utf-8"?>
<ds:datastoreItem xmlns:ds="http://schemas.openxmlformats.org/officeDocument/2006/customXml" ds:itemID="{C4816C92-24CE-464F-9837-6BA34E23FCF2}">
  <ds:schemaRefs/>
</ds:datastoreItem>
</file>

<file path=customXml/itemProps5.xml><?xml version="1.0" encoding="utf-8"?>
<ds:datastoreItem xmlns:ds="http://schemas.openxmlformats.org/officeDocument/2006/customXml" ds:itemID="{E0D72DDC-6D6A-4732-A107-DFE4D311A794}">
  <ds:schemaRefs/>
</ds:datastoreItem>
</file>

<file path=customXml/itemProps6.xml><?xml version="1.0" encoding="utf-8"?>
<ds:datastoreItem xmlns:ds="http://schemas.openxmlformats.org/officeDocument/2006/customXml" ds:itemID="{75892185-2992-4821-A282-9E4840E3EF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Customer_Health_Score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 Goyal</dc:creator>
  <cp:lastModifiedBy>Astha Goyal</cp:lastModifiedBy>
  <dcterms:created xsi:type="dcterms:W3CDTF">2026-06-28T13:59:48Z</dcterms:created>
  <dcterms:modified xsi:type="dcterms:W3CDTF">2026-07-17T15:42:36Z</dcterms:modified>
</cp:coreProperties>
</file>